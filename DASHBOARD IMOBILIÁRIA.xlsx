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desc-my.sharepoint.com/personal/49419718840_edu_udesc_br/Documents/Estudos diversos/"/>
    </mc:Choice>
  </mc:AlternateContent>
  <xr:revisionPtr revIDLastSave="19" documentId="6_{70E05A54-0FD0-2B42-9774-FBD1BA434C10}" xr6:coauthVersionLast="47" xr6:coauthVersionMax="47" xr10:uidLastSave="{4C048000-BF46-9144-A4B4-9BB5D192607B}"/>
  <bookViews>
    <workbookView xWindow="0" yWindow="720" windowWidth="29400" windowHeight="18400" activeTab="6" xr2:uid="{6FF17C72-D711-4743-ACEB-2909CFEECC0F}"/>
  </bookViews>
  <sheets>
    <sheet name="INTRUÇÃO" sheetId="1" r:id="rId1"/>
    <sheet name="CADASTRO" sheetId="5" r:id="rId2"/>
    <sheet name="BASE_DADOS" sheetId="2" r:id="rId3"/>
    <sheet name="MÉTRICAS" sheetId="6" r:id="rId4"/>
    <sheet name="APOIO" sheetId="8" state="hidden" r:id="rId5"/>
    <sheet name="INDICADORES" sheetId="4" r:id="rId6"/>
    <sheet name="DASHBOARD" sheetId="7" r:id="rId7"/>
  </sheets>
  <definedNames>
    <definedName name="_xlchart.v2.0" hidden="1">INDICADORES!$A$12:$A$17</definedName>
    <definedName name="_xlchart.v2.1" hidden="1">INDICADORES!$B$12:$B$17</definedName>
    <definedName name="ListaCorretores">CADASTRO!$B$3:$B$31</definedName>
    <definedName name="ListaEmpreendimentos">CADASTRO!$A$3:$A$31</definedName>
    <definedName name="ListaOrigem">CADASTRO!$C$3:$C$31</definedName>
    <definedName name="Tbl_cadastro">Table1[#All]</definedName>
  </definedNames>
  <calcPr calcId="191029"/>
  <pivotCaches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8" l="1"/>
  <c r="I2" i="8"/>
  <c r="B77" i="8"/>
  <c r="I3" i="8"/>
  <c r="I4" i="8"/>
  <c r="I5" i="8"/>
  <c r="I6" i="8"/>
  <c r="I7" i="8"/>
  <c r="H1" i="8" a="1"/>
  <c r="H1" i="8" s="1"/>
  <c r="B78" i="8"/>
  <c r="B79" i="8"/>
  <c r="B80" i="8"/>
  <c r="B81" i="8"/>
  <c r="B82" i="8"/>
  <c r="B83" i="8"/>
  <c r="A77" i="8" a="1"/>
  <c r="A77" i="8" s="1"/>
  <c r="D68" i="8"/>
  <c r="D69" i="8"/>
  <c r="D70" i="8"/>
  <c r="D71" i="8"/>
  <c r="D72" i="8"/>
  <c r="D73" i="8"/>
  <c r="D67" i="8"/>
  <c r="C68" i="8"/>
  <c r="C69" i="8"/>
  <c r="C70" i="8"/>
  <c r="C71" i="8"/>
  <c r="C72" i="8"/>
  <c r="C73" i="8"/>
  <c r="C67" i="8"/>
  <c r="B68" i="8"/>
  <c r="B69" i="8"/>
  <c r="B70" i="8"/>
  <c r="B71" i="8"/>
  <c r="B72" i="8"/>
  <c r="B73" i="8"/>
  <c r="B67" i="8"/>
  <c r="A67" i="8" a="1"/>
  <c r="A67" i="8" s="1"/>
  <c r="B28" i="4"/>
  <c r="A12" i="4" a="1"/>
  <c r="A12" i="4" s="1"/>
  <c r="A19" i="4" a="1"/>
  <c r="A19" i="4" s="1"/>
  <c r="B19" i="4" s="1"/>
  <c r="B17" i="4"/>
  <c r="B16" i="4"/>
  <c r="B15" i="4"/>
  <c r="B14" i="4"/>
  <c r="B13" i="4"/>
  <c r="B12" i="4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B7" i="4"/>
  <c r="C78" i="8" s="1"/>
  <c r="B6" i="4"/>
  <c r="B5" i="4"/>
  <c r="B3" i="4"/>
  <c r="B4" i="4"/>
  <c r="T5" i="8"/>
  <c r="T6" i="8"/>
  <c r="T7" i="8"/>
  <c r="T8" i="8"/>
  <c r="T9" i="8"/>
  <c r="T10" i="8"/>
  <c r="T4" i="8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" i="6"/>
  <c r="D2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D30" i="6"/>
  <c r="D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" i="6"/>
  <c r="B25" i="4" l="1"/>
  <c r="B24" i="4"/>
  <c r="B23" i="4"/>
  <c r="B22" i="4"/>
  <c r="B21" i="4"/>
  <c r="B20" i="4"/>
  <c r="J7" i="8"/>
  <c r="C83" i="8"/>
  <c r="J6" i="8"/>
  <c r="J5" i="8"/>
  <c r="C81" i="8"/>
  <c r="J4" i="8"/>
  <c r="C80" i="8"/>
  <c r="J3" i="8"/>
  <c r="C79" i="8"/>
  <c r="C77" i="8"/>
  <c r="J2" i="8"/>
  <c r="J1" i="8"/>
  <c r="C82" i="8"/>
  <c r="E73" i="8"/>
  <c r="E69" i="8"/>
  <c r="E67" i="8"/>
  <c r="E72" i="8"/>
  <c r="E71" i="8"/>
  <c r="E70" i="8"/>
  <c r="E68" i="8"/>
  <c r="B8" i="4"/>
  <c r="B9" i="4"/>
  <c r="C30" i="7" l="1" a="1"/>
  <c r="C30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<sst xmlns="http://schemas.openxmlformats.org/spreadsheetml/2006/main" count="393" uniqueCount="132">
  <si>
    <t>MANUAL DE USO DO DASHBOARD </t>
  </si>
  <si>
    <t>- Cadastre novos corretores/serviços na aba "Cadastro".</t>
  </si>
  <si>
    <t>- Insira os atendimentos/vendas na aba "Base_Dados".</t>
  </si>
  <si>
    <t>1. ONDE PREENCHER:</t>
  </si>
  <si>
    <t>2. O QUE NÃO ALTERAR:</t>
  </si>
  <si>
    <t>- Nunca altere as abas "Tratamento", "Indicadores" ou "Dashboard".</t>
  </si>
  <si>
    <t>- Elas possuem fórmulas automáticas de consolidação.</t>
  </si>
  <si>
    <t>3. COMO ATUALIZAR:</t>
  </si>
  <si>
    <t>- Após inserir novos dados na Base, aperte Ctrl + Alt + F5.</t>
  </si>
  <si>
    <t>CADASTRO</t>
  </si>
  <si>
    <t>ORIGEM</t>
  </si>
  <si>
    <t>CORRETOR(A)</t>
  </si>
  <si>
    <t>EMPREENDIMENTO</t>
  </si>
  <si>
    <t>STATUS</t>
  </si>
  <si>
    <t>BASE DE DADOS</t>
  </si>
  <si>
    <t>DATA</t>
  </si>
  <si>
    <t>EMPRENDIMENTO</t>
  </si>
  <si>
    <t>CLIENTE</t>
  </si>
  <si>
    <t>VALOR PEDIDO</t>
  </si>
  <si>
    <t>VALOR VENDA</t>
  </si>
  <si>
    <t>ID CLIENTE</t>
  </si>
  <si>
    <t>MÊS/ANO</t>
  </si>
  <si>
    <t>ANO</t>
  </si>
  <si>
    <t>MÉTRICAS</t>
  </si>
  <si>
    <t>INDICADOR</t>
  </si>
  <si>
    <t>VALOR</t>
  </si>
  <si>
    <t>INDICADORES</t>
  </si>
  <si>
    <t>Total Leads</t>
  </si>
  <si>
    <t>Visitas Realizadas</t>
  </si>
  <si>
    <t>Vendas Fechadas</t>
  </si>
  <si>
    <t>Ticket Médio</t>
  </si>
  <si>
    <t>Residencial Horizons</t>
  </si>
  <si>
    <t>Carlos Silva</t>
  </si>
  <si>
    <t>Meta Ads</t>
  </si>
  <si>
    <t>1. Lead</t>
  </si>
  <si>
    <t>Edifício Apex Tower</t>
  </si>
  <si>
    <t>Ana Souza</t>
  </si>
  <si>
    <t>Google Ads</t>
  </si>
  <si>
    <t>2. Contato Feito</t>
  </si>
  <si>
    <t>Condomínio Ville</t>
  </si>
  <si>
    <t>Roberto Lima</t>
  </si>
  <si>
    <t>Portal Imobiliário</t>
  </si>
  <si>
    <t>3. Visita Agendada</t>
  </si>
  <si>
    <t>Solar das Palmeiras</t>
  </si>
  <si>
    <t>Mariana Costa</t>
  </si>
  <si>
    <t>Indicação</t>
  </si>
  <si>
    <t>4. Proposta Enviada</t>
  </si>
  <si>
    <t>Grand Valley Resort</t>
  </si>
  <si>
    <t>Lucas Mendes</t>
  </si>
  <si>
    <t>Passante / Placa</t>
  </si>
  <si>
    <t>5. Venda Fechada</t>
  </si>
  <si>
    <t>Horizon City</t>
  </si>
  <si>
    <t>Juliana Paes</t>
  </si>
  <si>
    <t>WhatsApp Direct</t>
  </si>
  <si>
    <t>6. Perdido</t>
  </si>
  <si>
    <t>Villa Bella</t>
  </si>
  <si>
    <t>Fernando Dias</t>
  </si>
  <si>
    <t>Feira Imobiliária</t>
  </si>
  <si>
    <t>João Pedro Silva</t>
  </si>
  <si>
    <t>R$ 450.000</t>
  </si>
  <si>
    <t>Maria Clara Santos</t>
  </si>
  <si>
    <t>R$ 850.000</t>
  </si>
  <si>
    <t>-</t>
  </si>
  <si>
    <t>Lucas Oliveira</t>
  </si>
  <si>
    <t>R$ 320.000</t>
  </si>
  <si>
    <t>Beatrys Rocha</t>
  </si>
  <si>
    <t>R$ 680.000</t>
  </si>
  <si>
    <t>Gabriel Souza</t>
  </si>
  <si>
    <t>R$ 1.200.000</t>
  </si>
  <si>
    <t>Patricia Lima</t>
  </si>
  <si>
    <t>Rodrigo Alves</t>
  </si>
  <si>
    <t>R$ 510.000</t>
  </si>
  <si>
    <t>Camila Ribeiro</t>
  </si>
  <si>
    <t>R$ 290.000</t>
  </si>
  <si>
    <t>Marcelo Castro</t>
  </si>
  <si>
    <t>Fernanda Gomes</t>
  </si>
  <si>
    <t>André Martins</t>
  </si>
  <si>
    <t>Vanessa Dias</t>
  </si>
  <si>
    <t>Thiago Nunes</t>
  </si>
  <si>
    <t>Larissa Mello</t>
  </si>
  <si>
    <t>Diego Fernandes</t>
  </si>
  <si>
    <t>Bruno Carvalho</t>
  </si>
  <si>
    <t>Renata Silveira</t>
  </si>
  <si>
    <t>Caio Henrique</t>
  </si>
  <si>
    <t>Tatiana Lopes</t>
  </si>
  <si>
    <t>Fabio Junqueira</t>
  </si>
  <si>
    <t>Leticia Prado</t>
  </si>
  <si>
    <t>Igor Barbosa</t>
  </si>
  <si>
    <t>Daniela Ramos</t>
  </si>
  <si>
    <t>Gustavo Borges</t>
  </si>
  <si>
    <t>Amanda Freitas</t>
  </si>
  <si>
    <t>Leonardo Pires</t>
  </si>
  <si>
    <t>Nicole Vasconcelos</t>
  </si>
  <si>
    <t>Samuel Cardoso</t>
  </si>
  <si>
    <t>TICKET EFETIVO</t>
  </si>
  <si>
    <t>VENDA FECHADA</t>
  </si>
  <si>
    <t>Propostas Enviadas</t>
  </si>
  <si>
    <t>Taxa de Conversão (%)</t>
  </si>
  <si>
    <t>Faturamento</t>
  </si>
  <si>
    <t>Row Labels</t>
  </si>
  <si>
    <t>Grand Total</t>
  </si>
  <si>
    <t>Count of CLIENTE</t>
  </si>
  <si>
    <t>Lead</t>
  </si>
  <si>
    <t xml:space="preserve"> Contato Feito</t>
  </si>
  <si>
    <t xml:space="preserve"> Visita Agendada</t>
  </si>
  <si>
    <t>Proposta Enviada</t>
  </si>
  <si>
    <t>Venda Fechada</t>
  </si>
  <si>
    <t>Perdido</t>
  </si>
  <si>
    <t>05/26</t>
  </si>
  <si>
    <t>(All)</t>
  </si>
  <si>
    <t>Ranking de Corretor</t>
  </si>
  <si>
    <t>Conversão</t>
  </si>
  <si>
    <t>Clientes</t>
  </si>
  <si>
    <t>VGV</t>
  </si>
  <si>
    <t>Ano</t>
  </si>
  <si>
    <t>Mês</t>
  </si>
  <si>
    <t>Maio</t>
  </si>
  <si>
    <t>MÊS</t>
  </si>
  <si>
    <t>Junho</t>
  </si>
  <si>
    <t>Count of STATUS</t>
  </si>
  <si>
    <t>Dias</t>
  </si>
  <si>
    <t>Quantidade - total leads</t>
  </si>
  <si>
    <t>quantidade - visitas realizadas</t>
  </si>
  <si>
    <t>Imóveis parados &gt; 90 dias</t>
  </si>
  <si>
    <t>Março</t>
  </si>
  <si>
    <t>Valor Vendido</t>
  </si>
  <si>
    <t xml:space="preserve">          Imóveis parados &gt;90 dias</t>
  </si>
  <si>
    <t xml:space="preserve"> Taxa de Conversão</t>
  </si>
  <si>
    <t xml:space="preserve">             Faturamento</t>
  </si>
  <si>
    <t xml:space="preserve">         Visitas Realizadas</t>
  </si>
  <si>
    <t>IMOBILIÁRIA LTDA</t>
  </si>
  <si>
    <t xml:space="preserve">DASHBOARD CONF LIVING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</si>
</sst>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£&quot;* #,##0.00_);_(&quot;£&quot;* \(#,##0.00\);_(&quot;£&quot;* &quot;-&quot;??_);_(@_)"/>
    <numFmt numFmtId="164" formatCode="[$R$-416]\ #,##0.00"/>
    <numFmt numFmtId="165" formatCode="0.0%"/>
    <numFmt numFmtId="166" formatCode="&quot;£&quot;#,##0.000"/>
  </numFmts>
  <fonts count="3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ndale Mono"/>
      <family val="2"/>
    </font>
    <font>
      <sz val="36"/>
      <color theme="0"/>
      <name val="Georgia"/>
      <family val="1"/>
    </font>
    <font>
      <sz val="22"/>
      <color rgb="FF000000"/>
      <name val="Andale Mono"/>
      <family val="2"/>
    </font>
    <font>
      <sz val="22"/>
      <color theme="1"/>
      <name val="Andale Mono"/>
      <family val="2"/>
    </font>
    <font>
      <sz val="22"/>
      <color theme="1"/>
      <name val="Aptos Narrow"/>
      <family val="2"/>
      <scheme val="minor"/>
    </font>
    <font>
      <b/>
      <i/>
      <sz val="26"/>
      <color theme="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Arial"/>
      <family val="2"/>
    </font>
    <font>
      <b/>
      <sz val="24"/>
      <color rgb="FF000000"/>
      <name val="Aptos Narrow"/>
      <scheme val="minor"/>
    </font>
    <font>
      <b/>
      <sz val="18"/>
      <color theme="1" tint="0.34998626667073579"/>
      <name val="Aptos Narrow"/>
      <scheme val="minor"/>
    </font>
    <font>
      <b/>
      <i/>
      <sz val="16"/>
      <color theme="1" tint="0.34998626667073579"/>
      <name val="Aptos Narrow"/>
      <scheme val="minor"/>
    </font>
    <font>
      <b/>
      <sz val="16"/>
      <color theme="3"/>
      <name val="Adelle Sans Devanagari Regular"/>
    </font>
    <font>
      <b/>
      <i/>
      <sz val="16"/>
      <color theme="1" tint="0.34998626667073579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5"/>
      <color theme="0"/>
      <name val="Arial Hebrew Scholar"/>
      <charset val="177"/>
    </font>
    <font>
      <b/>
      <i/>
      <sz val="14"/>
      <color theme="1"/>
      <name val="Aptos Narrow"/>
      <family val="2"/>
      <scheme val="minor"/>
    </font>
    <font>
      <b/>
      <sz val="12"/>
      <color theme="3"/>
      <name val="Adelle Sans Devanagari Regular"/>
    </font>
    <font>
      <b/>
      <sz val="14"/>
      <color theme="1"/>
      <name val="Times New Roman"/>
      <family val="1"/>
    </font>
    <font>
      <b/>
      <sz val="12"/>
      <color theme="0"/>
      <name val="Arial Hebrew Scholar"/>
      <charset val="177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Segoe UI"/>
    </font>
    <font>
      <b/>
      <sz val="14"/>
      <color theme="3"/>
      <name val="Segoe UI"/>
    </font>
    <font>
      <b/>
      <sz val="12"/>
      <color theme="0"/>
      <name val="Segoe UI"/>
    </font>
    <font>
      <sz val="14"/>
      <color theme="1"/>
      <name val="Segoe UI"/>
    </font>
    <font>
      <sz val="12"/>
      <color theme="1"/>
      <name val="Segoe UI"/>
    </font>
    <font>
      <b/>
      <sz val="20"/>
      <color theme="3"/>
      <name val="Segoe UI"/>
    </font>
    <font>
      <b/>
      <sz val="12"/>
      <color theme="3"/>
      <name val="Segoe UI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rgb="FF1F3A5F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/>
    </fill>
    <fill>
      <patternFill patternType="solid">
        <fgColor theme="0"/>
        <bgColor indexed="64"/>
      </patternFill>
    </fill>
    <fill>
      <patternFill patternType="solid">
        <fgColor rgb="FFE0E6EB"/>
        <bgColor theme="2" tint="-0.24994659260841701"/>
      </patternFill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7" fillId="7" borderId="0" applyBorder="0">
      <alignment horizontal="center"/>
    </xf>
    <xf numFmtId="0" fontId="18" fillId="9" borderId="0" applyAlignment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7" fillId="4" borderId="0" xfId="0" applyFont="1" applyFill="1"/>
    <xf numFmtId="0" fontId="0" fillId="4" borderId="0" xfId="0" applyFill="1"/>
    <xf numFmtId="0" fontId="9" fillId="0" borderId="2" xfId="0" applyFont="1" applyBorder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/>
    <xf numFmtId="14" fontId="10" fillId="0" borderId="0" xfId="0" applyNumberFormat="1" applyFont="1"/>
    <xf numFmtId="0" fontId="10" fillId="0" borderId="0" xfId="0" applyFont="1"/>
    <xf numFmtId="164" fontId="0" fillId="4" borderId="0" xfId="0" applyNumberFormat="1" applyFill="1"/>
    <xf numFmtId="164" fontId="0" fillId="0" borderId="0" xfId="0" applyNumberFormat="1"/>
    <xf numFmtId="0" fontId="11" fillId="3" borderId="2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2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right"/>
    </xf>
    <xf numFmtId="0" fontId="12" fillId="0" borderId="4" xfId="0" applyFont="1" applyBorder="1" applyAlignment="1">
      <alignment horizontal="center"/>
    </xf>
    <xf numFmtId="164" fontId="13" fillId="0" borderId="0" xfId="0" applyNumberFormat="1" applyFont="1" applyAlignment="1">
      <alignment horizontal="right"/>
    </xf>
    <xf numFmtId="164" fontId="13" fillId="2" borderId="0" xfId="0" applyNumberFormat="1" applyFont="1" applyFill="1" applyAlignment="1">
      <alignment horizontal="right"/>
    </xf>
    <xf numFmtId="165" fontId="13" fillId="0" borderId="0" xfId="1" applyNumberFormat="1" applyFont="1" applyBorder="1" applyAlignment="1">
      <alignment horizontal="right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2" applyNumberFormat="1" applyFont="1"/>
    <xf numFmtId="2" fontId="0" fillId="4" borderId="0" xfId="2" applyNumberFormat="1" applyFont="1" applyFill="1" applyAlignment="1">
      <alignment horizontal="left"/>
    </xf>
    <xf numFmtId="2" fontId="9" fillId="0" borderId="0" xfId="2" applyNumberFormat="1" applyFont="1" applyAlignment="1">
      <alignment horizontal="left" vertical="center"/>
    </xf>
    <xf numFmtId="2" fontId="10" fillId="0" borderId="0" xfId="2" applyNumberFormat="1" applyFont="1" applyAlignment="1">
      <alignment horizontal="left"/>
    </xf>
    <xf numFmtId="2" fontId="0" fillId="0" borderId="0" xfId="2" applyNumberFormat="1" applyFont="1" applyAlignment="1">
      <alignment horizontal="left"/>
    </xf>
    <xf numFmtId="165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/>
    <xf numFmtId="165" fontId="17" fillId="8" borderId="0" xfId="1" applyNumberFormat="1" applyFont="1" applyFill="1" applyBorder="1" applyAlignment="1">
      <alignment horizontal="center"/>
    </xf>
    <xf numFmtId="165" fontId="0" fillId="8" borderId="0" xfId="1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8" fillId="5" borderId="0" xfId="0" applyFont="1" applyFill="1"/>
    <xf numFmtId="0" fontId="18" fillId="5" borderId="0" xfId="0" applyFont="1" applyFill="1" applyAlignment="1">
      <alignment horizontal="center"/>
    </xf>
    <xf numFmtId="0" fontId="19" fillId="10" borderId="0" xfId="0" applyFont="1" applyFill="1"/>
    <xf numFmtId="165" fontId="9" fillId="5" borderId="0" xfId="1" applyNumberFormat="1" applyFont="1" applyFill="1" applyAlignment="1">
      <alignment horizontal="center"/>
    </xf>
    <xf numFmtId="0" fontId="0" fillId="5" borderId="0" xfId="0" applyFill="1" applyAlignment="1">
      <alignment horizontal="left"/>
    </xf>
    <xf numFmtId="0" fontId="18" fillId="5" borderId="0" xfId="0" applyFont="1" applyFill="1" applyAlignment="1">
      <alignment horizontal="left"/>
    </xf>
    <xf numFmtId="0" fontId="9" fillId="5" borderId="0" xfId="0" applyFont="1" applyFill="1"/>
    <xf numFmtId="0" fontId="14" fillId="6" borderId="0" xfId="0" applyFont="1" applyFill="1" applyAlignment="1">
      <alignment vertical="top"/>
    </xf>
    <xf numFmtId="0" fontId="15" fillId="0" borderId="0" xfId="0" applyFont="1" applyAlignment="1">
      <alignment horizontal="right"/>
    </xf>
    <xf numFmtId="0" fontId="16" fillId="0" borderId="0" xfId="0" applyFont="1" applyAlignment="1">
      <alignment vertical="center"/>
    </xf>
    <xf numFmtId="0" fontId="21" fillId="6" borderId="0" xfId="0" applyFont="1" applyFill="1" applyAlignment="1">
      <alignment horizontal="left" vertical="top"/>
    </xf>
    <xf numFmtId="1" fontId="0" fillId="0" borderId="0" xfId="0" applyNumberFormat="1"/>
    <xf numFmtId="166" fontId="0" fillId="0" borderId="0" xfId="2" applyNumberFormat="1" applyFont="1" applyAlignment="1">
      <alignment horizontal="left"/>
    </xf>
    <xf numFmtId="1" fontId="10" fillId="0" borderId="0" xfId="2" applyNumberFormat="1" applyFont="1" applyAlignment="1">
      <alignment horizontal="left"/>
    </xf>
    <xf numFmtId="0" fontId="22" fillId="5" borderId="0" xfId="0" applyFont="1" applyFill="1"/>
    <xf numFmtId="9" fontId="0" fillId="5" borderId="0" xfId="1" applyFont="1" applyFill="1"/>
    <xf numFmtId="0" fontId="23" fillId="10" borderId="0" xfId="0" applyFont="1" applyFill="1" applyAlignment="1">
      <alignment horizontal="center"/>
    </xf>
    <xf numFmtId="0" fontId="24" fillId="5" borderId="0" xfId="0" applyFont="1" applyFill="1" applyAlignment="1">
      <alignment horizontal="right"/>
    </xf>
    <xf numFmtId="165" fontId="24" fillId="5" borderId="0" xfId="1" applyNumberFormat="1" applyFont="1" applyFill="1" applyAlignment="1">
      <alignment horizontal="right"/>
    </xf>
    <xf numFmtId="0" fontId="25" fillId="5" borderId="0" xfId="0" applyFont="1" applyFill="1" applyAlignment="1">
      <alignment horizontal="right"/>
    </xf>
    <xf numFmtId="164" fontId="23" fillId="10" borderId="0" xfId="2" applyNumberFormat="1" applyFont="1" applyFill="1" applyAlignment="1">
      <alignment horizontal="center"/>
    </xf>
    <xf numFmtId="164" fontId="0" fillId="5" borderId="0" xfId="2" applyNumberFormat="1" applyFont="1" applyFill="1"/>
    <xf numFmtId="0" fontId="20" fillId="8" borderId="0" xfId="0" applyFont="1" applyFill="1" applyAlignment="1">
      <alignment horizontal="left"/>
    </xf>
    <xf numFmtId="0" fontId="20" fillId="8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9" fontId="0" fillId="0" borderId="0" xfId="1" applyFont="1"/>
    <xf numFmtId="0" fontId="26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/>
    </xf>
    <xf numFmtId="0" fontId="26" fillId="5" borderId="0" xfId="0" applyFont="1" applyFill="1" applyAlignment="1">
      <alignment horizontal="left"/>
    </xf>
    <xf numFmtId="0" fontId="26" fillId="5" borderId="0" xfId="0" applyFont="1" applyFill="1" applyAlignment="1">
      <alignment horizontal="center"/>
    </xf>
    <xf numFmtId="0" fontId="27" fillId="8" borderId="0" xfId="0" applyFont="1" applyFill="1" applyAlignment="1">
      <alignment horizontal="center" vertical="center"/>
    </xf>
    <xf numFmtId="0" fontId="28" fillId="10" borderId="0" xfId="0" applyFont="1" applyFill="1"/>
    <xf numFmtId="0" fontId="28" fillId="10" borderId="0" xfId="0" applyFont="1" applyFill="1" applyAlignment="1">
      <alignment horizontal="center"/>
    </xf>
    <xf numFmtId="164" fontId="28" fillId="10" borderId="0" xfId="0" applyNumberFormat="1" applyFont="1" applyFill="1" applyAlignment="1">
      <alignment horizontal="center"/>
    </xf>
    <xf numFmtId="0" fontId="29" fillId="5" borderId="0" xfId="0" applyFont="1" applyFill="1"/>
    <xf numFmtId="0" fontId="30" fillId="5" borderId="0" xfId="0" applyFont="1" applyFill="1"/>
    <xf numFmtId="164" fontId="30" fillId="5" borderId="0" xfId="0" applyNumberFormat="1" applyFont="1" applyFill="1"/>
    <xf numFmtId="9" fontId="30" fillId="5" borderId="0" xfId="1" applyFont="1" applyFill="1"/>
    <xf numFmtId="0" fontId="0" fillId="6" borderId="0" xfId="0" applyFill="1"/>
    <xf numFmtId="0" fontId="31" fillId="6" borderId="0" xfId="0" applyFont="1" applyFill="1" applyAlignment="1">
      <alignment vertical="top"/>
    </xf>
    <xf numFmtId="0" fontId="31" fillId="6" borderId="0" xfId="0" applyFont="1" applyFill="1" applyAlignment="1">
      <alignment horizontal="right" vertical="top"/>
    </xf>
    <xf numFmtId="0" fontId="32" fillId="6" borderId="0" xfId="0" applyFont="1" applyFill="1" applyAlignment="1">
      <alignment horizontal="left"/>
    </xf>
    <xf numFmtId="0" fontId="0" fillId="6" borderId="6" xfId="0" applyFill="1" applyBorder="1"/>
    <xf numFmtId="0" fontId="0" fillId="11" borderId="6" xfId="0" applyFill="1" applyBorder="1"/>
    <xf numFmtId="0" fontId="29" fillId="6" borderId="0" xfId="0" applyFont="1" applyFill="1"/>
    <xf numFmtId="0" fontId="30" fillId="6" borderId="0" xfId="0" applyFont="1" applyFill="1"/>
    <xf numFmtId="164" fontId="30" fillId="6" borderId="0" xfId="0" applyNumberFormat="1" applyFont="1" applyFill="1"/>
    <xf numFmtId="9" fontId="30" fillId="6" borderId="0" xfId="1" applyFont="1" applyFill="1"/>
  </cellXfs>
  <cellStyles count="5">
    <cellStyle name="Currency" xfId="2" builtinId="4"/>
    <cellStyle name="Normal" xfId="0" builtinId="0"/>
    <cellStyle name="Per cent" xfId="1" builtinId="5"/>
    <cellStyle name="Style 1" xfId="3" xr:uid="{30E57DFE-5D22-4144-ACE8-CFBB9A76B69A}"/>
    <cellStyle name="Style 2" xfId="4" xr:uid="{D0BFDA58-DCCE-714E-BDF8-1F723BF29A52}"/>
  </cellStyles>
  <dxfs count="42"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 tint="0.34998626667073579"/>
        <name val="Aptos Narrow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34998626667073579"/>
        <name val="Aptos Narrow"/>
        <scheme val="minor"/>
      </font>
    </dxf>
    <dxf>
      <font>
        <strike val="0"/>
        <outline val="0"/>
        <shadow val="0"/>
        <u val="none"/>
        <vertAlign val="baseline"/>
        <color theme="1" tint="0.34998626667073579"/>
        <name val="Aptos Narrow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Aptos Narrow"/>
        <scheme val="minor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border>
        <right/>
        <bottom/>
      </border>
    </dxf>
    <dxf>
      <border>
        <right/>
        <bottom/>
      </border>
    </dxf>
    <dxf>
      <border>
        <bottom style="thin">
          <color indexed="64"/>
        </bottom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[$R$-416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right" vertical="center" textRotation="0" wrapText="0" indent="0" justifyLastLine="0" shrinkToFit="0" readingOrder="0"/>
    </dxf>
    <dxf>
      <numFmt numFmtId="2" formatCode="0.00"/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fgColor theme="3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CADASTRO" pivot="0" count="0" xr9:uid="{0D7135D7-9A72-C84D-B4DF-796C6673F81C}"/>
    <tableStyle name="PivotTable Style 1" table="0" count="0" xr9:uid="{85D240AD-206C-034A-B1C1-DDEAE8FBE25F}"/>
    <tableStyle name="SlicerStyleOther2 2" pivot="0" table="0" count="10" xr9:uid="{8D86353F-55AE-BE4C-85F0-765B1325A268}">
      <tableStyleElement type="wholeTable" dxfId="41"/>
      <tableStyleElement type="headerRow" dxfId="40"/>
    </tableStyle>
    <tableStyle name="SlicerStyleOther2 3" pivot="0" table="0" count="10" xr9:uid="{CF432971-78FE-2346-8B09-CA74C731C67C}">
      <tableStyleElement type="wholeTable" dxfId="39"/>
      <tableStyleElement type="headerRow" dxfId="38"/>
    </tableStyle>
  </tableStyles>
  <colors>
    <mruColors>
      <color rgb="FF1F3A5F"/>
      <color rgb="FFE0E6EB"/>
      <color rgb="FFD1E6EB"/>
      <color rgb="FFE1E5EB"/>
      <color rgb="FFF1F5F9"/>
      <color rgb="FFF1F6FA"/>
    </mruColors>
  </colors>
  <extLst>
    <ext xmlns:x14="http://schemas.microsoft.com/office/spreadsheetml/2009/9/main" uri="{46F421CA-312F-682f-3DD2-61675219B42D}">
      <x14:dxfs count="16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3269742422616124"/>
          <c:w val="0.92370043600531093"/>
          <c:h val="0.8673025757738387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&lt;02/05/2026 &lt;02/05/2026</c:v>
              </c:pt>
              <c:pt idx="1">
                <c:v>May 02-May</c:v>
              </c:pt>
              <c:pt idx="2">
                <c:v>May 06-May</c:v>
              </c:pt>
              <c:pt idx="3">
                <c:v>May 07-May</c:v>
              </c:pt>
              <c:pt idx="4">
                <c:v>May 08-May</c:v>
              </c:pt>
              <c:pt idx="5">
                <c:v>May 09-May</c:v>
              </c:pt>
              <c:pt idx="6">
                <c:v>May 10-May</c:v>
              </c:pt>
              <c:pt idx="7">
                <c:v>May 11-May</c:v>
              </c:pt>
              <c:pt idx="8">
                <c:v>May 12-May</c:v>
              </c:pt>
              <c:pt idx="9">
                <c:v>May 13-May</c:v>
              </c:pt>
              <c:pt idx="10">
                <c:v>May 22-May</c:v>
              </c:pt>
              <c:pt idx="11">
                <c:v>May 23-May</c:v>
              </c:pt>
              <c:pt idx="12">
                <c:v>May 24-May</c:v>
              </c:pt>
              <c:pt idx="13">
                <c:v>May 27-May</c:v>
              </c:pt>
              <c:pt idx="14">
                <c:v>Jun 28-Jun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5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9</c:v>
              </c:pt>
              <c:pt idx="11">
                <c:v>1</c:v>
              </c:pt>
              <c:pt idx="12">
                <c:v>3</c:v>
              </c:pt>
              <c:pt idx="13">
                <c:v>1</c:v>
              </c:pt>
              <c:pt idx="14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007-BF42-A846-CB0059DD7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765360"/>
        <c:axId val="1911823280"/>
      </c:lineChart>
      <c:catAx>
        <c:axId val="1892765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1823280"/>
        <c:crosses val="autoZero"/>
        <c:auto val="1"/>
        <c:lblAlgn val="ctr"/>
        <c:lblOffset val="100"/>
        <c:noMultiLvlLbl val="0"/>
      </c:catAx>
      <c:valAx>
        <c:axId val="1911823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27653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IMOBILIÁRIA.xlsx]APOIO!PivotTable1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4065029004117"/>
          <c:y val="0.18494733955720616"/>
          <c:w val="0.56981234333717223"/>
          <c:h val="0.62672267475769528"/>
        </c:manualLayout>
      </c:layout>
      <c:lineChart>
        <c:grouping val="standard"/>
        <c:varyColors val="0"/>
        <c:ser>
          <c:idx val="0"/>
          <c:order val="0"/>
          <c:tx>
            <c:strRef>
              <c:f>APOIO!$O$25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APOIO!$N$26:$N$40</c:f>
              <c:strCache>
                <c:ptCount val="14"/>
                <c:pt idx="0">
                  <c:v>02/05/2026</c:v>
                </c:pt>
                <c:pt idx="1">
                  <c:v>06/05/2026</c:v>
                </c:pt>
                <c:pt idx="2">
                  <c:v>07/05/2026</c:v>
                </c:pt>
                <c:pt idx="3">
                  <c:v>08/05/2026</c:v>
                </c:pt>
                <c:pt idx="4">
                  <c:v>09/05/2026</c:v>
                </c:pt>
                <c:pt idx="5">
                  <c:v>10/05/2026</c:v>
                </c:pt>
                <c:pt idx="6">
                  <c:v>11/05/2026</c:v>
                </c:pt>
                <c:pt idx="7">
                  <c:v>12/05/2026</c:v>
                </c:pt>
                <c:pt idx="8">
                  <c:v>13/05/2026</c:v>
                </c:pt>
                <c:pt idx="9">
                  <c:v>22/05/2026</c:v>
                </c:pt>
                <c:pt idx="10">
                  <c:v>23/05/2026</c:v>
                </c:pt>
                <c:pt idx="11">
                  <c:v>24/05/2026</c:v>
                </c:pt>
                <c:pt idx="12">
                  <c:v>27/05/2026</c:v>
                </c:pt>
                <c:pt idx="13">
                  <c:v>28/06/2026</c:v>
                </c:pt>
              </c:strCache>
            </c:strRef>
          </c:cat>
          <c:val>
            <c:numRef>
              <c:f>APOIO!$O$26:$O$40</c:f>
              <c:numCache>
                <c:formatCode>General</c:formatCode>
                <c:ptCount val="1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B-B648-B445-9089E56F8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388256"/>
        <c:axId val="944269487"/>
      </c:lineChart>
      <c:catAx>
        <c:axId val="1400388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269487"/>
        <c:crosses val="autoZero"/>
        <c:auto val="1"/>
        <c:lblAlgn val="ctr"/>
        <c:lblOffset val="100"/>
        <c:noMultiLvlLbl val="0"/>
      </c:catAx>
      <c:valAx>
        <c:axId val="944269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03882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APOIO!$Q$41:$Q$71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5-6645-8B9F-5CD63AF78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024544"/>
        <c:axId val="1844367983"/>
      </c:lineChart>
      <c:catAx>
        <c:axId val="160302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67983"/>
        <c:crosses val="autoZero"/>
        <c:auto val="1"/>
        <c:lblAlgn val="ctr"/>
        <c:lblOffset val="100"/>
        <c:noMultiLvlLbl val="0"/>
      </c:catAx>
      <c:valAx>
        <c:axId val="1844367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30245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90000"/>
              <a:alpha val="58506"/>
            </a:schemeClr>
          </a:solidFill>
          <a:ln w="12700">
            <a:solidFill>
              <a:schemeClr val="dk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129576671894118E-3"/>
          <c:y val="0.10138123305815834"/>
          <c:w val="0.98875128564928638"/>
          <c:h val="0.63190586411967586"/>
        </c:manualLayout>
      </c:layou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33150832"/>
        <c:axId val="1888631839"/>
      </c:areaChart>
      <c:catAx>
        <c:axId val="1933150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8631839"/>
        <c:crosses val="autoZero"/>
        <c:auto val="1"/>
        <c:lblAlgn val="ctr"/>
        <c:lblOffset val="100"/>
        <c:noMultiLvlLbl val="0"/>
      </c:catAx>
      <c:valAx>
        <c:axId val="1888631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150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INDICADORES!$A$19:$A$25</c:f>
              <c:strCache>
                <c:ptCount val="7"/>
                <c:pt idx="0">
                  <c:v>Meta Ads</c:v>
                </c:pt>
                <c:pt idx="1">
                  <c:v>Google Ads</c:v>
                </c:pt>
                <c:pt idx="2">
                  <c:v>Portal Imobiliário</c:v>
                </c:pt>
                <c:pt idx="3">
                  <c:v>Indicação</c:v>
                </c:pt>
                <c:pt idx="4">
                  <c:v>Passante / Placa</c:v>
                </c:pt>
                <c:pt idx="5">
                  <c:v>WhatsApp Direct</c:v>
                </c:pt>
                <c:pt idx="6">
                  <c:v>Feira Imobiliária</c:v>
                </c:pt>
              </c:strCache>
            </c:strRef>
          </c:cat>
          <c:val>
            <c:numRef>
              <c:f>INDICADORES!$B$19:$B$25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3-A643-A11F-47D7C3A488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25"/>
        <c:axId val="468313376"/>
        <c:axId val="468119088"/>
      </c:barChart>
      <c:catAx>
        <c:axId val="4683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68119088"/>
        <c:crosses val="autoZero"/>
        <c:auto val="1"/>
        <c:lblAlgn val="ctr"/>
        <c:lblOffset val="100"/>
        <c:noMultiLvlLbl val="0"/>
      </c:catAx>
      <c:valAx>
        <c:axId val="468119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831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cat>
            <c:strRef>
              <c:f>APOIO!$H$1:$H$7</c:f>
              <c:strCache>
                <c:ptCount val="7"/>
                <c:pt idx="0">
                  <c:v>Residencial Horizons</c:v>
                </c:pt>
                <c:pt idx="1">
                  <c:v>Edifício Apex Tower</c:v>
                </c:pt>
                <c:pt idx="2">
                  <c:v>Condomínio Ville</c:v>
                </c:pt>
                <c:pt idx="3">
                  <c:v>Solar das Palmeiras</c:v>
                </c:pt>
                <c:pt idx="4">
                  <c:v>Grand Valley Resort</c:v>
                </c:pt>
                <c:pt idx="5">
                  <c:v>Horizon City</c:v>
                </c:pt>
                <c:pt idx="6">
                  <c:v>Villa Bella</c:v>
                </c:pt>
              </c:strCache>
            </c:strRef>
          </c:cat>
          <c:val>
            <c:numRef>
              <c:f>APOIO!$I$1:$I$7</c:f>
            </c:numRef>
          </c:val>
          <c:extLst>
            <c:ext xmlns:c16="http://schemas.microsoft.com/office/drawing/2014/chart" uri="{C3380CC4-5D6E-409C-BE32-E72D297353CC}">
              <c16:uniqueId val="{00000000-D1FC-6043-9494-E226BC939306}"/>
            </c:ext>
          </c:extLst>
        </c:ser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FC-6043-9494-E226BC9393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FC-6043-9494-E226BC9393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1FC-6043-9494-E226BC9393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1FC-6043-9494-E226BC939306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1FC-6043-9494-E226BC9393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1FC-6043-9494-E226BC9393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1FC-6043-9494-E226BC939306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1FC-6043-9494-E226BC9393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APOIO!$H$1:$H$7</c:f>
              <c:strCache>
                <c:ptCount val="7"/>
                <c:pt idx="0">
                  <c:v>Residencial Horizons</c:v>
                </c:pt>
                <c:pt idx="1">
                  <c:v>Edifício Apex Tower</c:v>
                </c:pt>
                <c:pt idx="2">
                  <c:v>Condomínio Ville</c:v>
                </c:pt>
                <c:pt idx="3">
                  <c:v>Solar das Palmeiras</c:v>
                </c:pt>
                <c:pt idx="4">
                  <c:v>Grand Valley Resort</c:v>
                </c:pt>
                <c:pt idx="5">
                  <c:v>Horizon City</c:v>
                </c:pt>
                <c:pt idx="6">
                  <c:v>Villa Bella</c:v>
                </c:pt>
              </c:strCache>
            </c:strRef>
          </c:cat>
          <c:val>
            <c:numRef>
              <c:f>APOIO!$J$1:$J$7</c:f>
              <c:numCache>
                <c:formatCode>0%</c:formatCode>
                <c:ptCount val="7"/>
                <c:pt idx="0">
                  <c:v>0.14586709886547811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0.7617504051863857</c:v>
                </c:pt>
                <c:pt idx="5">
                  <c:v>0</c:v>
                </c:pt>
                <c:pt idx="6">
                  <c:v>9.2382495948136148E-2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1FC-6043-9494-E226BC93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i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2000" b="1" i="1" u="none" strike="noStrike" kern="1200" spc="0" baseline="0" dirty="0" err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Fluxo</a:t>
            </a:r>
            <a:r>
              <a:rPr lang="en-GB" sz="1400" b="0" i="1" u="none" strike="noStrike" baseline="0" dirty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GB" sz="2000" b="1" i="1" u="none" strike="noStrike" kern="1200" spc="0" baseline="0" dirty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de</a:t>
            </a:r>
            <a:r>
              <a:rPr lang="en-GB" sz="1400" b="0" i="1" u="none" strike="noStrike" baseline="0" dirty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GB" sz="2000" b="1" i="1" u="none" strike="noStrike" kern="1200" spc="0" baseline="0" dirty="0" err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Conversão</a:t>
            </a:r>
            <a:r>
              <a:rPr lang="en-GB" sz="1400" b="0" i="1" u="none" strike="noStrike" baseline="0" dirty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GB" sz="2000" b="1" i="1" u="none" strike="noStrike" kern="1200" spc="0" baseline="0" dirty="0" err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Comercial</a:t>
            </a:r>
            <a:endParaRPr lang="en-GB" sz="2000" b="1" i="1" u="none" strike="noStrike" kern="1200" spc="0" baseline="0" dirty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</cx:plotAreaRegion>
    </cx:plotArea>
  </cx:chart>
  <cx:spPr>
    <a:noFill/>
    <a:ln w="15875"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C4EB323E-F7FC-D245-AE04-4DE960062C87}">
          <cx:spPr>
            <a:solidFill>
              <a:schemeClr val="tx2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GB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GB"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i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2000" b="1" i="1" u="none" strike="noStrike" kern="1200" spc="0" baseline="0" dirty="0" err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Origem por Vendas</a:t>
            </a:r>
            <a:endParaRPr lang="en-GB" sz="2000" b="1" i="1" u="none" strike="noStrike" kern="1200" spc="0" baseline="0" dirty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</cx:plotAreaRegion>
    </cx:plotArea>
  </cx:chart>
  <cx:spPr>
    <a:noFill/>
    <a:ln w="15875"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>
        <cx:plotSurface>
          <cx:spPr>
            <a:noFill/>
            <a:ln>
              <a:noFill/>
            </a:ln>
          </cx:spPr>
        </cx:plotSurface>
      </cx:plotAreaRegion>
    </cx:plotArea>
  </cx:chart>
  <cx:spPr>
    <a:noFill/>
    <a:ln w="15875"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300" i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GB" sz="1300" b="1" i="1" u="none" strike="noStrike" kern="1200" spc="0" baseline="0" dirty="0" err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Participação por imóvel</a:t>
            </a:r>
            <a:endParaRPr lang="en-GB" sz="1300" b="1" i="1" u="none" strike="noStrike" kern="1200" spc="0" baseline="0" dirty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</cx:plotAreaRegion>
    </cx:plotArea>
  </cx:chart>
  <cx:spPr>
    <a:noFill/>
    <a:ln w="15875"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microsoft.com/office/2014/relationships/chartEx" Target="../charts/chartEx2.xml"/><Relationship Id="rId7" Type="http://schemas.microsoft.com/office/2014/relationships/chartEx" Target="../charts/chartEx4.xml"/><Relationship Id="rId2" Type="http://schemas.microsoft.com/office/2014/relationships/chartEx" Target="../charts/chartEx1.xml"/><Relationship Id="rId1" Type="http://schemas.openxmlformats.org/officeDocument/2006/relationships/chart" Target="../charts/chart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microsoft.com/office/2014/relationships/chartEx" Target="../charts/chartEx5.xml"/><Relationship Id="rId4" Type="http://schemas.microsoft.com/office/2014/relationships/chartEx" Target="../charts/chartEx3.xml"/><Relationship Id="rId9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127000</xdr:colOff>
      <xdr:row>35</xdr:row>
      <xdr:rowOff>118140</xdr:rowOff>
    </xdr:from>
    <xdr:to>
      <xdr:col>9</xdr:col>
      <xdr:colOff>561163</xdr:colOff>
      <xdr:row>42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F0A4B-8930-60D5-4207-F39090CAA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295349</xdr:colOff>
      <xdr:row>31</xdr:row>
      <xdr:rowOff>118139</xdr:rowOff>
    </xdr:from>
    <xdr:to>
      <xdr:col>17</xdr:col>
      <xdr:colOff>841745</xdr:colOff>
      <xdr:row>33</xdr:row>
      <xdr:rowOff>162442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852F2-DF9F-6E04-5B01-147E5EC8B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-1</xdr:colOff>
      <xdr:row>61</xdr:row>
      <xdr:rowOff>14767</xdr:rowOff>
    </xdr:from>
    <xdr:to>
      <xdr:col>15</xdr:col>
      <xdr:colOff>137336</xdr:colOff>
      <xdr:row>66</xdr:row>
      <xdr:rowOff>57297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AD95E3-C37A-716D-2C88-37B62F44C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230717</xdr:colOff>
      <xdr:row>26</xdr:row>
      <xdr:rowOff>165099</xdr:rowOff>
    </xdr:from>
    <xdr:to>
      <xdr:col>10</xdr:col>
      <xdr:colOff>2452403</xdr:colOff>
      <xdr:row>36</xdr:row>
      <xdr:rowOff>159726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74B47830-8AB0-564C-8B46-25EAE2F7C137}"/>
            </a:ext>
          </a:extLst>
        </xdr:cNvPr>
        <xdr:cNvSpPr/>
      </xdr:nvSpPr>
      <xdr:spPr>
        <a:xfrm>
          <a:off x="8216477" y="5245099"/>
          <a:ext cx="5726886" cy="2250147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4</xdr:row>
      <xdr:rowOff>16933</xdr:rowOff>
    </xdr:from>
    <xdr:to>
      <xdr:col>11</xdr:col>
      <xdr:colOff>33867</xdr:colOff>
      <xdr:row>4</xdr:row>
      <xdr:rowOff>21709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4ABBCD-455A-01BF-A55D-922691E9E7C6}"/>
            </a:ext>
          </a:extLst>
        </xdr:cNvPr>
        <xdr:cNvCxnSpPr/>
      </xdr:nvCxnSpPr>
      <xdr:spPr>
        <a:xfrm flipV="1">
          <a:off x="0" y="660400"/>
          <a:ext cx="14359467" cy="477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79319</xdr:colOff>
      <xdr:row>6</xdr:row>
      <xdr:rowOff>71299</xdr:rowOff>
    </xdr:from>
    <xdr:to>
      <xdr:col>2</xdr:col>
      <xdr:colOff>2161006</xdr:colOff>
      <xdr:row>8</xdr:row>
      <xdr:rowOff>166535</xdr:rowOff>
    </xdr:to>
    <xdr:sp macro="" textlink="INDICADORES!B3">
      <xdr:nvSpPr>
        <xdr:cNvPr id="14" name="Rounded Rectangle 13">
          <a:extLst>
            <a:ext uri="{FF2B5EF4-FFF2-40B4-BE49-F238E27FC236}">
              <a16:creationId xmlns:a16="http://schemas.microsoft.com/office/drawing/2014/main" id="{BA9F89DD-47F2-4D25-500D-ABF756FA91E1}"/>
            </a:ext>
          </a:extLst>
        </xdr:cNvPr>
        <xdr:cNvSpPr/>
      </xdr:nvSpPr>
      <xdr:spPr>
        <a:xfrm>
          <a:off x="569494" y="1307878"/>
          <a:ext cx="2081687" cy="496289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FD648562-BA75-1848-BA74-10D04D1234EB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26</a:t>
          </a:fld>
          <a:endParaRPr lang="en-GB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2253093</xdr:colOff>
      <xdr:row>6</xdr:row>
      <xdr:rowOff>82440</xdr:rowOff>
    </xdr:from>
    <xdr:to>
      <xdr:col>4</xdr:col>
      <xdr:colOff>768683</xdr:colOff>
      <xdr:row>8</xdr:row>
      <xdr:rowOff>178110</xdr:rowOff>
    </xdr:to>
    <xdr:sp macro="" textlink="INDICADORES!B4">
      <xdr:nvSpPr>
        <xdr:cNvPr id="15" name="Rounded Rectangle 14">
          <a:extLst>
            <a:ext uri="{FF2B5EF4-FFF2-40B4-BE49-F238E27FC236}">
              <a16:creationId xmlns:a16="http://schemas.microsoft.com/office/drawing/2014/main" id="{42B347B6-36D1-FC47-8FDF-4FF6DEB580B3}"/>
            </a:ext>
          </a:extLst>
        </xdr:cNvPr>
        <xdr:cNvSpPr/>
      </xdr:nvSpPr>
      <xdr:spPr>
        <a:xfrm>
          <a:off x="2743268" y="1319019"/>
          <a:ext cx="2080503" cy="496723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0AD168A-0D2D-2E40-89B4-785EF754FD11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</a:t>
          </a:fld>
          <a:endParaRPr lang="en-GB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872285</xdr:colOff>
      <xdr:row>6</xdr:row>
      <xdr:rowOff>82439</xdr:rowOff>
    </xdr:from>
    <xdr:to>
      <xdr:col>6</xdr:col>
      <xdr:colOff>200527</xdr:colOff>
      <xdr:row>8</xdr:row>
      <xdr:rowOff>164973</xdr:rowOff>
    </xdr:to>
    <xdr:sp macro="" textlink="INDICADORES!B6">
      <xdr:nvSpPr>
        <xdr:cNvPr id="16" name="Rounded Rectangle 15">
          <a:extLst>
            <a:ext uri="{FF2B5EF4-FFF2-40B4-BE49-F238E27FC236}">
              <a16:creationId xmlns:a16="http://schemas.microsoft.com/office/drawing/2014/main" id="{5B1030DD-15B9-FA45-A542-6A92B360CD40}"/>
            </a:ext>
          </a:extLst>
        </xdr:cNvPr>
        <xdr:cNvSpPr/>
      </xdr:nvSpPr>
      <xdr:spPr>
        <a:xfrm>
          <a:off x="4927373" y="1319018"/>
          <a:ext cx="2079908" cy="483587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C8B89A9D-DEDE-864A-8D59-23C1C5632ACA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</a:t>
          </a:fld>
          <a:endParaRPr lang="en-GB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311890</xdr:colOff>
      <xdr:row>6</xdr:row>
      <xdr:rowOff>89122</xdr:rowOff>
    </xdr:from>
    <xdr:to>
      <xdr:col>7</xdr:col>
      <xdr:colOff>1370262</xdr:colOff>
      <xdr:row>8</xdr:row>
      <xdr:rowOff>167104</xdr:rowOff>
    </xdr:to>
    <xdr:sp macro="" textlink="INDICADORES!B9">
      <xdr:nvSpPr>
        <xdr:cNvPr id="17" name="Rounded Rectangle 16">
          <a:extLst>
            <a:ext uri="{FF2B5EF4-FFF2-40B4-BE49-F238E27FC236}">
              <a16:creationId xmlns:a16="http://schemas.microsoft.com/office/drawing/2014/main" id="{ED70E65A-F509-A046-B99E-FC8D73E271F9}"/>
            </a:ext>
          </a:extLst>
        </xdr:cNvPr>
        <xdr:cNvSpPr/>
      </xdr:nvSpPr>
      <xdr:spPr>
        <a:xfrm>
          <a:off x="7118644" y="1325701"/>
          <a:ext cx="2083285" cy="479035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491FBF4-F3E5-CB4A-BBA1-5D0260AAFA80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15.4%</a:t>
          </a:fld>
          <a:endParaRPr lang="en-GB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190499</xdr:colOff>
      <xdr:row>6</xdr:row>
      <xdr:rowOff>165100</xdr:rowOff>
    </xdr:from>
    <xdr:to>
      <xdr:col>6</xdr:col>
      <xdr:colOff>564444</xdr:colOff>
      <xdr:row>11</xdr:row>
      <xdr:rowOff>107157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FF0600-1128-C74E-8779-41789B757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289042</xdr:colOff>
      <xdr:row>9</xdr:row>
      <xdr:rowOff>77166</xdr:rowOff>
    </xdr:from>
    <xdr:to>
      <xdr:col>7</xdr:col>
      <xdr:colOff>52359</xdr:colOff>
      <xdr:row>26</xdr:row>
      <xdr:rowOff>68385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41CA161B-6B47-8944-BEA0-072E108FA086}"/>
            </a:ext>
          </a:extLst>
        </xdr:cNvPr>
        <xdr:cNvSpPr/>
      </xdr:nvSpPr>
      <xdr:spPr>
        <a:xfrm>
          <a:off x="289042" y="1962628"/>
          <a:ext cx="7598240" cy="3478834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58840</xdr:colOff>
      <xdr:row>9</xdr:row>
      <xdr:rowOff>77982</xdr:rowOff>
    </xdr:from>
    <xdr:to>
      <xdr:col>6</xdr:col>
      <xdr:colOff>944701</xdr:colOff>
      <xdr:row>12</xdr:row>
      <xdr:rowOff>22281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BD7C3A3-FEDB-8F40-B681-7C4658C4D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640" y="1690882"/>
              <a:ext cx="7527961" cy="553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201084</xdr:colOff>
      <xdr:row>9</xdr:row>
      <xdr:rowOff>115695</xdr:rowOff>
    </xdr:from>
    <xdr:to>
      <xdr:col>10</xdr:col>
      <xdr:colOff>2422770</xdr:colOff>
      <xdr:row>26</xdr:row>
      <xdr:rowOff>39077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7D54165-825B-8F47-AE2F-20FB1DFD1D27}"/>
            </a:ext>
          </a:extLst>
        </xdr:cNvPr>
        <xdr:cNvSpPr/>
      </xdr:nvSpPr>
      <xdr:spPr>
        <a:xfrm>
          <a:off x="8180917" y="1671445"/>
          <a:ext cx="5735353" cy="334179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1500341</xdr:colOff>
      <xdr:row>6</xdr:row>
      <xdr:rowOff>85557</xdr:rowOff>
    </xdr:from>
    <xdr:to>
      <xdr:col>10</xdr:col>
      <xdr:colOff>63275</xdr:colOff>
      <xdr:row>8</xdr:row>
      <xdr:rowOff>163539</xdr:rowOff>
    </xdr:to>
    <xdr:sp macro="" textlink="INDICADORES!B28">
      <xdr:nvSpPr>
        <xdr:cNvPr id="21" name="Rounded Rectangle 20">
          <a:extLst>
            <a:ext uri="{FF2B5EF4-FFF2-40B4-BE49-F238E27FC236}">
              <a16:creationId xmlns:a16="http://schemas.microsoft.com/office/drawing/2014/main" id="{633255C4-691F-0D47-82F3-11E144D08523}"/>
            </a:ext>
          </a:extLst>
        </xdr:cNvPr>
        <xdr:cNvSpPr/>
      </xdr:nvSpPr>
      <xdr:spPr>
        <a:xfrm>
          <a:off x="9332008" y="1322136"/>
          <a:ext cx="2083285" cy="479035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CB546AB-0B77-5140-B039-7BF2F950F544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0</a:t>
          </a:fld>
          <a:endParaRPr lang="en-US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171074</xdr:colOff>
      <xdr:row>6</xdr:row>
      <xdr:rowOff>81992</xdr:rowOff>
    </xdr:from>
    <xdr:to>
      <xdr:col>10</xdr:col>
      <xdr:colOff>2254359</xdr:colOff>
      <xdr:row>8</xdr:row>
      <xdr:rowOff>159974</xdr:rowOff>
    </xdr:to>
    <xdr:sp macro="" textlink="INDICADORES!B7">
      <xdr:nvSpPr>
        <xdr:cNvPr id="22" name="Rounded Rectangle 21">
          <a:extLst>
            <a:ext uri="{FF2B5EF4-FFF2-40B4-BE49-F238E27FC236}">
              <a16:creationId xmlns:a16="http://schemas.microsoft.com/office/drawing/2014/main" id="{664115E1-BC2C-AD44-8D71-DFC899263952}"/>
            </a:ext>
          </a:extLst>
        </xdr:cNvPr>
        <xdr:cNvSpPr/>
      </xdr:nvSpPr>
      <xdr:spPr>
        <a:xfrm>
          <a:off x="11523092" y="1318571"/>
          <a:ext cx="2083285" cy="479035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C5D861EC-3030-8246-A416-0CCDC7272319}" type="TxLink">
            <a:rPr lang="en-US" sz="1600" b="1" i="0" u="none" strike="noStrike">
              <a:solidFill>
                <a:schemeClr val="tx1"/>
              </a:solidFill>
              <a:latin typeface="Segoe UI" panose="020B0502040204020203" pitchFamily="34" charset="0"/>
              <a:ea typeface="Apple Color Emoji" pitchFamily="2" charset="0"/>
              <a:cs typeface="Segoe UI" panose="020B0502040204020203" pitchFamily="34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R$ 3,085,000.00</a:t>
          </a:fld>
          <a:endParaRPr lang="en-US" sz="1600" b="1" i="0" u="none" strike="noStrike">
            <a:solidFill>
              <a:schemeClr val="tx1"/>
            </a:solidFill>
            <a:latin typeface="Segoe UI" panose="020B0502040204020203" pitchFamily="34" charset="0"/>
            <a:ea typeface="Apple Color Emoji" pitchFamily="2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372533</xdr:colOff>
      <xdr:row>12</xdr:row>
      <xdr:rowOff>33867</xdr:rowOff>
    </xdr:from>
    <xdr:to>
      <xdr:col>6</xdr:col>
      <xdr:colOff>406400</xdr:colOff>
      <xdr:row>25</xdr:row>
      <xdr:rowOff>135467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C7A8C6E-61EF-D444-9116-6472368C6E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833" y="2256367"/>
              <a:ext cx="64854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1388533</xdr:colOff>
      <xdr:row>9</xdr:row>
      <xdr:rowOff>166495</xdr:rowOff>
    </xdr:from>
    <xdr:to>
      <xdr:col>10</xdr:col>
      <xdr:colOff>1693334</xdr:colOff>
      <xdr:row>12</xdr:row>
      <xdr:rowOff>110794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9F1BA2D-D3F3-1149-BFB0-EEE1FDEB0F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4133" y="1779395"/>
              <a:ext cx="3810001" cy="553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624417</xdr:colOff>
      <xdr:row>12</xdr:row>
      <xdr:rowOff>29308</xdr:rowOff>
    </xdr:from>
    <xdr:to>
      <xdr:col>10</xdr:col>
      <xdr:colOff>1926167</xdr:colOff>
      <xdr:row>25</xdr:row>
      <xdr:rowOff>105508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B4EF3C-31B6-1C4E-888A-2C9EC7697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619760</xdr:colOff>
      <xdr:row>28</xdr:row>
      <xdr:rowOff>40640</xdr:rowOff>
    </xdr:from>
    <xdr:to>
      <xdr:col>10</xdr:col>
      <xdr:colOff>1378065</xdr:colOff>
      <xdr:row>36</xdr:row>
      <xdr:rowOff>206664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C4E1E2-57CB-324C-AC21-C6DACC0C1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288637</xdr:colOff>
      <xdr:row>26</xdr:row>
      <xdr:rowOff>103909</xdr:rowOff>
    </xdr:from>
    <xdr:to>
      <xdr:col>10</xdr:col>
      <xdr:colOff>392546</xdr:colOff>
      <xdr:row>28</xdr:row>
      <xdr:rowOff>46182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6A96A10-CDAE-764E-B96D-DFD83F8B84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2837" y="5171209"/>
              <a:ext cx="2110509" cy="145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76200</xdr:colOff>
      <xdr:row>3</xdr:row>
      <xdr:rowOff>12700</xdr:rowOff>
    </xdr:to>
    <xdr:pic>
      <xdr:nvPicPr>
        <xdr:cNvPr id="10" name="Graphic 9" descr="Home outline">
          <a:extLst>
            <a:ext uri="{FF2B5EF4-FFF2-40B4-BE49-F238E27FC236}">
              <a16:creationId xmlns:a16="http://schemas.microsoft.com/office/drawing/2014/main" id="{5D3F0566-6C9A-54B1-D0F8-C33478687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0" y="0"/>
          <a:ext cx="571500" cy="571500"/>
        </a:xfrm>
        <a:prstGeom prst="rect">
          <a:avLst/>
        </a:prstGeom>
      </xdr:spPr>
    </xdr:pic>
    <xdr:clientData/>
  </xdr:twoCellAnchor>
  <xdr:twoCellAnchor>
    <xdr:from>
      <xdr:col>9</xdr:col>
      <xdr:colOff>83820</xdr:colOff>
      <xdr:row>26</xdr:row>
      <xdr:rowOff>95376</xdr:rowOff>
    </xdr:from>
    <xdr:to>
      <xdr:col>10</xdr:col>
      <xdr:colOff>1016000</xdr:colOff>
      <xdr:row>30</xdr:row>
      <xdr:rowOff>47414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58F79255-A900-3C45-9676-9FF2EC32B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8220" y="5175376"/>
              <a:ext cx="2618740" cy="622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yla Eduarda Maciel de Sousa" refreshedDate="46251.689853935182" createdVersion="8" refreshedVersion="8" minRefreshableVersion="3" recordCount="29" xr:uid="{B5BC9580-A2DF-D441-B579-ACBE3545E3BB}">
  <cacheSource type="worksheet">
    <worksheetSource name="Table5"/>
  </cacheSource>
  <cacheFields count="7">
    <cacheField name="ID CLIENTE" numFmtId="14">
      <sharedItems containsBlank="1" count="29">
        <s v="João Pedro Silva"/>
        <s v="Maria Clara Santos"/>
        <s v="Lucas Oliveira"/>
        <s v="Beatrys Rocha"/>
        <s v="Gabriel Souza"/>
        <s v="Patricia Lima"/>
        <s v="Rodrigo Alves"/>
        <s v="Camila Ribeiro"/>
        <s v="Marcelo Castro"/>
        <s v="Fernanda Gomes"/>
        <s v="André Martins"/>
        <s v="Vanessa Dias"/>
        <s v="Thiago Nunes"/>
        <s v="Larissa Mello"/>
        <s v="Diego Fernandes"/>
        <s v="Bruno Carvalho"/>
        <s v="Renata Silveira"/>
        <s v="Caio Henrique"/>
        <s v="Tatiana Lopes"/>
        <s v="Fabio Junqueira"/>
        <s v="Leticia Prado"/>
        <s v="Igor Barbosa"/>
        <s v="Daniela Ramos"/>
        <s v="Gustavo Borges"/>
        <s v="Amanda Freitas"/>
        <s v="Leonardo Pires"/>
        <s v="Nicole Vasconcelos"/>
        <s v="Samuel Cardoso"/>
        <m/>
      </sharedItems>
    </cacheField>
    <cacheField name="MÊS/ANO" numFmtId="0">
      <sharedItems containsBlank="1" count="4">
        <s v="03/26"/>
        <s v="05/26"/>
        <s v="06/26"/>
        <m/>
      </sharedItems>
    </cacheField>
    <cacheField name="ANO" numFmtId="0">
      <sharedItems containsString="0" containsBlank="1" containsNumber="1" containsInteger="1" minValue="2026" maxValue="2026" count="2">
        <n v="2026"/>
        <m/>
      </sharedItems>
    </cacheField>
    <cacheField name="TICKET EFETIVO" numFmtId="0">
      <sharedItems containsString="0" containsBlank="1" containsNumber="1" containsInteger="1" minValue="0" maxValue="1200000"/>
    </cacheField>
    <cacheField name="VENDA FECHADA" numFmtId="0">
      <sharedItems containsString="0" containsBlank="1" containsNumber="1" containsInteger="1" minValue="0" maxValue="1"/>
    </cacheField>
    <cacheField name="Ticket Médio" numFmtId="0" formula="'TICKET EFETIVO'/'VENDA FECHADA'" databaseField="0"/>
    <cacheField name="Taxa Conversão" numFmtId="0" formula="'VENDA FECHADA'/'ID CLIENTE'" databaseField="0"/>
  </cacheFields>
  <extLst>
    <ext xmlns:x14="http://schemas.microsoft.com/office/spreadsheetml/2009/9/main" uri="{725AE2AE-9491-48be-B2B4-4EB974FC3084}">
      <x14:pivotCacheDefinition pivotCacheId="77824103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yla Eduarda Maciel de Sousa" refreshedDate="46251.689854166667" createdVersion="8" refreshedVersion="8" minRefreshableVersion="3" recordCount="30" xr:uid="{404C3B0A-16AD-2644-862B-66347DDF68AB}">
  <cacheSource type="worksheet">
    <worksheetSource name="Table14"/>
  </cacheSource>
  <cacheFields count="13">
    <cacheField name="DATA" numFmtId="0">
      <sharedItems containsNonDate="0" containsDate="1" containsString="0" containsBlank="1" minDate="2026-03-02T00:00:00" maxDate="2026-06-29T00:00:00" count="30">
        <d v="2026-03-02T00:00:00"/>
        <d v="2026-05-02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22T00:00:00"/>
        <d v="2026-05-23T00:00:00"/>
        <d v="2026-05-24T00:00:00"/>
        <d v="2026-05-27T00:00:00"/>
        <d v="2026-06-28T00:00:00"/>
        <m/>
        <d v="2026-06-25T00:00:00" u="1"/>
        <d v="2026-06-26T00:00:00" u="1"/>
        <d v="2026-05-28T00:00:00" u="1"/>
        <d v="2026-05-14T00:00:00" u="1"/>
        <d v="2026-05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03T00:00:00" u="1"/>
        <d v="2026-05-04T00:00:00" u="1"/>
        <d v="2026-05-05T00:00:00" u="1"/>
      </sharedItems>
      <fieldGroup par="12"/>
    </cacheField>
    <cacheField name="EMPRENDIMENTO" numFmtId="0">
      <sharedItems containsBlank="1"/>
    </cacheField>
    <cacheField name="CLIENTE" numFmtId="0">
      <sharedItems containsBlank="1"/>
    </cacheField>
    <cacheField name="CORRETOR(A)" numFmtId="0">
      <sharedItems containsBlank="1" count="8">
        <s v="Carlos Silva"/>
        <s v="Ana Souza"/>
        <s v="Roberto Lima"/>
        <s v="Mariana Costa"/>
        <s v="Lucas Mendes"/>
        <s v="Juliana Paes"/>
        <s v="Fernando Dias"/>
        <m/>
      </sharedItems>
    </cacheField>
    <cacheField name="ORIGEM" numFmtId="0">
      <sharedItems containsBlank="1" count="7">
        <s v="Meta Ads"/>
        <s v="Google Ads"/>
        <s v="Portal Imobiliário"/>
        <s v="Indicação"/>
        <s v="Passante / Placa"/>
        <s v="WhatsApp Direct"/>
        <m/>
      </sharedItems>
    </cacheField>
    <cacheField name="VALOR PEDIDO" numFmtId="0">
      <sharedItems containsBlank="1"/>
    </cacheField>
    <cacheField name="STATUS" numFmtId="0">
      <sharedItems containsBlank="1" count="7">
        <s v="5. Venda Fechada"/>
        <s v="3. Visita Agendada"/>
        <s v="1. Lead"/>
        <s v="4. Proposta Enviada"/>
        <s v="6. Perdido"/>
        <s v="2. Contato Feito"/>
        <m/>
      </sharedItems>
    </cacheField>
    <cacheField name="VALOR VENDA" numFmtId="0">
      <sharedItems containsBlank="1" containsMixedTypes="1" containsNumber="1" containsInteger="1" minValue="285000" maxValue="1200000"/>
    </cacheField>
    <cacheField name="Mês" numFmtId="14">
      <sharedItems containsBlank="1" count="4">
        <s v="Março"/>
        <s v="Maio"/>
        <s v="Junho"/>
        <m/>
      </sharedItems>
    </cacheField>
    <cacheField name="Ano" numFmtId="0">
      <sharedItems containsString="0" containsBlank="1" containsNumber="1" containsInteger="1" minValue="2026" maxValue="2026" count="2">
        <n v="2026"/>
        <m/>
      </sharedItems>
    </cacheField>
    <cacheField name="Conversão" numFmtId="0" formula="'VALOR VENDA'/CLIENTE" databaseField="0"/>
    <cacheField name="Days (DATA)" numFmtId="0" databaseField="0">
      <fieldGroup base="0">
        <rangePr groupBy="days" startDate="2026-03-02T00:00:00" endDate="2026-06-29T00:00:00"/>
        <groupItems count="368">
          <s v="&lt;02/03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06/2026"/>
        </groupItems>
      </fieldGroup>
    </cacheField>
    <cacheField name="Months (DATA)" numFmtId="0" databaseField="0">
      <fieldGroup base="0">
        <rangePr groupBy="months" startDate="2026-03-02T00:00:00" endDate="2026-06-29T00:00:00"/>
        <groupItems count="14">
          <s v="&lt;02/0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6/2026"/>
        </groupItems>
      </fieldGroup>
    </cacheField>
  </cacheFields>
  <extLst>
    <ext xmlns:x14="http://schemas.microsoft.com/office/spreadsheetml/2009/9/main" uri="{725AE2AE-9491-48be-B2B4-4EB974FC3084}">
      <x14:pivotCacheDefinition pivotCacheId="1739276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440000"/>
    <n v="1"/>
  </r>
  <r>
    <x v="1"/>
    <x v="1"/>
    <x v="0"/>
    <n v="0"/>
    <n v="0"/>
  </r>
  <r>
    <x v="2"/>
    <x v="1"/>
    <x v="0"/>
    <n v="0"/>
    <n v="0"/>
  </r>
  <r>
    <x v="3"/>
    <x v="1"/>
    <x v="0"/>
    <n v="0"/>
    <n v="0"/>
  </r>
  <r>
    <x v="4"/>
    <x v="1"/>
    <x v="0"/>
    <n v="1150000"/>
    <n v="1"/>
  </r>
  <r>
    <x v="5"/>
    <x v="1"/>
    <x v="0"/>
    <n v="0"/>
    <n v="0"/>
  </r>
  <r>
    <x v="6"/>
    <x v="1"/>
    <x v="0"/>
    <n v="0"/>
    <n v="0"/>
  </r>
  <r>
    <x v="7"/>
    <x v="1"/>
    <x v="0"/>
    <n v="0"/>
    <n v="0"/>
  </r>
  <r>
    <x v="8"/>
    <x v="1"/>
    <x v="0"/>
    <n v="0"/>
    <n v="0"/>
  </r>
  <r>
    <x v="9"/>
    <x v="1"/>
    <x v="0"/>
    <n v="0"/>
    <n v="0"/>
  </r>
  <r>
    <x v="10"/>
    <x v="1"/>
    <x v="0"/>
    <n v="0"/>
    <n v="0"/>
  </r>
  <r>
    <x v="11"/>
    <x v="1"/>
    <x v="0"/>
    <n v="0"/>
    <n v="0"/>
  </r>
  <r>
    <x v="12"/>
    <x v="1"/>
    <x v="0"/>
    <n v="450000"/>
    <n v="1"/>
  </r>
  <r>
    <x v="13"/>
    <x v="1"/>
    <x v="0"/>
    <n v="0"/>
    <n v="0"/>
  </r>
  <r>
    <x v="14"/>
    <x v="1"/>
    <x v="0"/>
    <n v="0"/>
    <n v="0"/>
  </r>
  <r>
    <x v="15"/>
    <x v="1"/>
    <x v="0"/>
    <n v="0"/>
    <n v="0"/>
  </r>
  <r>
    <x v="16"/>
    <x v="1"/>
    <x v="0"/>
    <n v="0"/>
    <n v="0"/>
  </r>
  <r>
    <x v="17"/>
    <x v="1"/>
    <x v="0"/>
    <n v="0"/>
    <n v="0"/>
  </r>
  <r>
    <x v="18"/>
    <x v="1"/>
    <x v="0"/>
    <n v="0"/>
    <n v="0"/>
  </r>
  <r>
    <x v="19"/>
    <x v="1"/>
    <x v="0"/>
    <n v="0"/>
    <n v="0"/>
  </r>
  <r>
    <x v="20"/>
    <x v="1"/>
    <x v="0"/>
    <n v="0"/>
    <n v="0"/>
  </r>
  <r>
    <x v="21"/>
    <x v="1"/>
    <x v="0"/>
    <n v="285000"/>
    <n v="1"/>
  </r>
  <r>
    <x v="22"/>
    <x v="1"/>
    <x v="0"/>
    <n v="0"/>
    <n v="0"/>
  </r>
  <r>
    <x v="23"/>
    <x v="1"/>
    <x v="0"/>
    <n v="0"/>
    <n v="0"/>
  </r>
  <r>
    <x v="24"/>
    <x v="1"/>
    <x v="0"/>
    <n v="0"/>
    <n v="0"/>
  </r>
  <r>
    <x v="25"/>
    <x v="1"/>
    <x v="0"/>
    <n v="1200000"/>
    <n v="1"/>
  </r>
  <r>
    <x v="26"/>
    <x v="1"/>
    <x v="0"/>
    <n v="0"/>
    <n v="0"/>
  </r>
  <r>
    <x v="27"/>
    <x v="2"/>
    <x v="0"/>
    <n v="0"/>
    <n v="0"/>
  </r>
  <r>
    <x v="28"/>
    <x v="3"/>
    <x v="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Grand Valley Resort"/>
    <s v="João Pedro Silva"/>
    <x v="0"/>
    <x v="0"/>
    <s v="R$ 450.000"/>
    <x v="0"/>
    <n v="440000"/>
    <x v="0"/>
    <x v="0"/>
  </r>
  <r>
    <x v="1"/>
    <s v="Edifício Apex Tower"/>
    <s v="Maria Clara Santos"/>
    <x v="1"/>
    <x v="1"/>
    <s v="R$ 850.000"/>
    <x v="1"/>
    <s v="-"/>
    <x v="1"/>
    <x v="0"/>
  </r>
  <r>
    <x v="1"/>
    <s v="Condomínio Ville"/>
    <s v="Lucas Oliveira"/>
    <x v="2"/>
    <x v="2"/>
    <s v="R$ 320.000"/>
    <x v="2"/>
    <s v="-"/>
    <x v="1"/>
    <x v="0"/>
  </r>
  <r>
    <x v="1"/>
    <s v="Solar das Palmeiras"/>
    <s v="Beatrys Rocha"/>
    <x v="3"/>
    <x v="3"/>
    <s v="R$ 680.000"/>
    <x v="3"/>
    <s v="-"/>
    <x v="1"/>
    <x v="0"/>
  </r>
  <r>
    <x v="1"/>
    <s v="Grand Valley Resort"/>
    <s v="Gabriel Souza"/>
    <x v="4"/>
    <x v="0"/>
    <s v="R$ 1.200.000"/>
    <x v="0"/>
    <n v="1150000"/>
    <x v="1"/>
    <x v="0"/>
  </r>
  <r>
    <x v="2"/>
    <s v="Residencial Horizons"/>
    <s v="Patricia Lima"/>
    <x v="0"/>
    <x v="1"/>
    <s v="R$ 450.000"/>
    <x v="4"/>
    <s v="-"/>
    <x v="1"/>
    <x v="0"/>
  </r>
  <r>
    <x v="3"/>
    <s v="Horizon City"/>
    <s v="Rodrigo Alves"/>
    <x v="5"/>
    <x v="4"/>
    <s v="R$ 510.000"/>
    <x v="5"/>
    <s v="-"/>
    <x v="1"/>
    <x v="0"/>
  </r>
  <r>
    <x v="4"/>
    <s v="Villa Bella"/>
    <s v="Camila Ribeiro"/>
    <x v="6"/>
    <x v="0"/>
    <s v="R$ 290.000"/>
    <x v="2"/>
    <s v="-"/>
    <x v="1"/>
    <x v="0"/>
  </r>
  <r>
    <x v="5"/>
    <s v="Edifício Apex Tower"/>
    <s v="Marcelo Castro"/>
    <x v="1"/>
    <x v="3"/>
    <s v="R$ 850.000"/>
    <x v="3"/>
    <s v="-"/>
    <x v="1"/>
    <x v="0"/>
  </r>
  <r>
    <x v="6"/>
    <s v="Condomínio Ville"/>
    <s v="Fernanda Gomes"/>
    <x v="2"/>
    <x v="0"/>
    <s v="R$ 320.000"/>
    <x v="4"/>
    <s v="-"/>
    <x v="1"/>
    <x v="0"/>
  </r>
  <r>
    <x v="7"/>
    <s v="Solar das Palmeiras"/>
    <s v="André Martins"/>
    <x v="3"/>
    <x v="1"/>
    <s v="R$ 680.000"/>
    <x v="1"/>
    <s v="-"/>
    <x v="1"/>
    <x v="0"/>
  </r>
  <r>
    <x v="8"/>
    <s v="Grand Valley Resort"/>
    <s v="Vanessa Dias"/>
    <x v="4"/>
    <x v="2"/>
    <s v="R$ 1.200.000"/>
    <x v="2"/>
    <s v="-"/>
    <x v="1"/>
    <x v="0"/>
  </r>
  <r>
    <x v="9"/>
    <s v="Residencial Horizons"/>
    <s v="Thiago Nunes"/>
    <x v="0"/>
    <x v="0"/>
    <s v="R$ 450.000"/>
    <x v="0"/>
    <n v="450000"/>
    <x v="1"/>
    <x v="0"/>
  </r>
  <r>
    <x v="10"/>
    <s v="Horizon City"/>
    <s v="Larissa Mello"/>
    <x v="5"/>
    <x v="5"/>
    <s v="R$ 510.000"/>
    <x v="1"/>
    <s v="-"/>
    <x v="1"/>
    <x v="0"/>
  </r>
  <r>
    <x v="10"/>
    <s v="Villa Bella"/>
    <s v="Diego Fernandes"/>
    <x v="6"/>
    <x v="1"/>
    <s v="R$ 290.000"/>
    <x v="5"/>
    <s v="-"/>
    <x v="1"/>
    <x v="0"/>
  </r>
  <r>
    <x v="10"/>
    <s v="Edifício Apex Tower"/>
    <s v="Bruno Carvalho"/>
    <x v="1"/>
    <x v="0"/>
    <s v="R$ 850.000"/>
    <x v="2"/>
    <s v="-"/>
    <x v="1"/>
    <x v="0"/>
  </r>
  <r>
    <x v="10"/>
    <s v="Condomínio Ville"/>
    <s v="Renata Silveira"/>
    <x v="2"/>
    <x v="3"/>
    <s v="R$ 320.000"/>
    <x v="2"/>
    <s v="-"/>
    <x v="1"/>
    <x v="0"/>
  </r>
  <r>
    <x v="10"/>
    <s v="Solar das Palmeiras"/>
    <s v="Caio Henrique"/>
    <x v="3"/>
    <x v="0"/>
    <s v="R$ 680.000"/>
    <x v="2"/>
    <s v="-"/>
    <x v="1"/>
    <x v="0"/>
  </r>
  <r>
    <x v="10"/>
    <s v="Grand Valley Resort"/>
    <s v="Tatiana Lopes"/>
    <x v="4"/>
    <x v="1"/>
    <s v="R$ 1.200.000"/>
    <x v="4"/>
    <s v="-"/>
    <x v="1"/>
    <x v="0"/>
  </r>
  <r>
    <x v="10"/>
    <s v="Residencial Horizons"/>
    <s v="Fabio Junqueira"/>
    <x v="0"/>
    <x v="2"/>
    <s v="R$ 450.000"/>
    <x v="5"/>
    <s v="-"/>
    <x v="1"/>
    <x v="0"/>
  </r>
  <r>
    <x v="10"/>
    <s v="Horizon City"/>
    <s v="Leticia Prado"/>
    <x v="5"/>
    <x v="0"/>
    <s v="R$ 510.000"/>
    <x v="3"/>
    <s v="-"/>
    <x v="1"/>
    <x v="0"/>
  </r>
  <r>
    <x v="10"/>
    <s v="Villa Bella"/>
    <s v="Igor Barbosa"/>
    <x v="6"/>
    <x v="3"/>
    <s v="R$ 290.000"/>
    <x v="0"/>
    <n v="285000"/>
    <x v="1"/>
    <x v="0"/>
  </r>
  <r>
    <x v="11"/>
    <s v="Edifício Apex Tower"/>
    <s v="Daniela Ramos"/>
    <x v="1"/>
    <x v="0"/>
    <s v="R$ 850.000"/>
    <x v="2"/>
    <s v="-"/>
    <x v="1"/>
    <x v="0"/>
  </r>
  <r>
    <x v="12"/>
    <s v="Condomínio Ville"/>
    <s v="Gustavo Borges"/>
    <x v="2"/>
    <x v="1"/>
    <s v="R$ 320.000"/>
    <x v="1"/>
    <s v="-"/>
    <x v="1"/>
    <x v="0"/>
  </r>
  <r>
    <x v="12"/>
    <s v="Solar das Palmeiras"/>
    <s v="Amanda Freitas"/>
    <x v="3"/>
    <x v="5"/>
    <s v="R$ 680.000"/>
    <x v="5"/>
    <s v="-"/>
    <x v="1"/>
    <x v="0"/>
  </r>
  <r>
    <x v="12"/>
    <s v="Grand Valley Resort"/>
    <s v="Leonardo Pires"/>
    <x v="4"/>
    <x v="3"/>
    <s v="R$ 1.200.000"/>
    <x v="0"/>
    <n v="1200000"/>
    <x v="1"/>
    <x v="0"/>
  </r>
  <r>
    <x v="13"/>
    <s v="Residencial Horizons"/>
    <s v="Nicole Vasconcelos"/>
    <x v="0"/>
    <x v="0"/>
    <s v="R$ 450.000"/>
    <x v="2"/>
    <s v="-"/>
    <x v="1"/>
    <x v="0"/>
  </r>
  <r>
    <x v="14"/>
    <s v="Horizon City"/>
    <s v="Samuel Cardoso"/>
    <x v="5"/>
    <x v="1"/>
    <s v="R$ 510.000"/>
    <x v="2"/>
    <s v="-"/>
    <x v="2"/>
    <x v="0"/>
  </r>
  <r>
    <x v="15"/>
    <m/>
    <m/>
    <x v="7"/>
    <x v="6"/>
    <m/>
    <x v="6"/>
    <m/>
    <x v="3"/>
    <x v="1"/>
  </r>
  <r>
    <x v="15"/>
    <m/>
    <m/>
    <x v="7"/>
    <x v="6"/>
    <m/>
    <x v="6"/>
    <m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F6548-94FC-834E-BA3A-ED3E9AF5E435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62" firstHeaderRow="1" firstDataRow="1" firstDataCol="1" rowPageCount="2" colPageCount="1"/>
  <pivotFields count="7">
    <pivotField axis="axisRow" showAll="0">
      <items count="30">
        <item x="24"/>
        <item x="10"/>
        <item x="3"/>
        <item x="15"/>
        <item x="17"/>
        <item x="7"/>
        <item x="22"/>
        <item x="14"/>
        <item x="19"/>
        <item x="9"/>
        <item x="4"/>
        <item x="23"/>
        <item x="21"/>
        <item x="0"/>
        <item x="13"/>
        <item x="25"/>
        <item x="20"/>
        <item x="2"/>
        <item x="8"/>
        <item x="1"/>
        <item x="26"/>
        <item x="5"/>
        <item x="16"/>
        <item x="6"/>
        <item x="27"/>
        <item x="18"/>
        <item x="12"/>
        <item x="11"/>
        <item h="1" x="28"/>
        <item t="default"/>
      </items>
    </pivotField>
    <pivotField axis="axisPage" multipleItemSelectionAllowed="1" showAll="0">
      <items count="5">
        <item x="1"/>
        <item h="1" x="3"/>
        <item h="1" x="2"/>
        <item h="1"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 t="grand">
      <x/>
    </i>
  </rowItems>
  <colItems count="1">
    <i/>
  </colItems>
  <pageFields count="2">
    <pageField fld="1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50495-23DD-FC4D-9A81-8E2AD288825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:L6" firstHeaderRow="1" firstDataRow="1" firstDataCol="1" rowPageCount="1" colPageCount="1"/>
  <pivotFields count="13">
    <pivotField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x="15"/>
        <item x="0"/>
        <item t="default"/>
      </items>
    </pivotField>
    <pivotField showAll="0"/>
    <pivotField dataField="1" showAll="0"/>
    <pivotField showAll="0"/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showAll="0"/>
    <pivotField axis="axisPage" multipleItemSelectionAllowed="1" showAll="0">
      <items count="8">
        <item h="1" x="2"/>
        <item h="1" x="5"/>
        <item h="1" x="1"/>
        <item h="1" x="3"/>
        <item x="0"/>
        <item h="1" x="4"/>
        <item h="1" x="6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unt of CLIENT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AFEA6-6CF1-204E-B384-4106A54C1B6B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21:T26" firstHeaderRow="1" firstDataRow="1" firstDataCol="1" rowPageCount="1" colPageCount="1"/>
  <pivotFields count="13">
    <pivotField axis="axisRow"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x="15"/>
        <item x="0"/>
        <item t="default"/>
      </items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8">
        <item h="1" x="2"/>
        <item h="1" x="5"/>
        <item x="1"/>
        <item h="1" x="3"/>
        <item h="1" x="0"/>
        <item h="1" x="4"/>
        <item h="1" x="6"/>
        <item t="default"/>
      </items>
    </pivotField>
    <pivotField showAll="0"/>
    <pivotField showAll="0"/>
    <pivotField showAll="0"/>
    <pivotField dragToRow="0" dragToCol="0" dragToPage="0" showAll="0" defaultSubtota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5">
    <i>
      <x/>
    </i>
    <i>
      <x v="9"/>
    </i>
    <i>
      <x v="20"/>
    </i>
    <i>
      <x v="22"/>
    </i>
    <i t="grand">
      <x/>
    </i>
  </rowItems>
  <colItems count="1">
    <i/>
  </colItems>
  <pageFields count="1">
    <pageField fld="6" hier="-1"/>
  </pageField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0663-8CC9-6C4F-9EBD-7244143F5F1F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9" firstHeaderRow="1" firstDataRow="1" firstDataCol="1" rowPageCount="1" colPageCount="1"/>
  <pivotFields count="13">
    <pivotField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x="15"/>
        <item x="0"/>
        <item t="default"/>
      </items>
    </pivotField>
    <pivotField showAll="0"/>
    <pivotField dataField="1" showAll="0"/>
    <pivotField axis="axisPage" showAll="0">
      <items count="9">
        <item x="1"/>
        <item x="0"/>
        <item x="6"/>
        <item x="5"/>
        <item x="4"/>
        <item x="3"/>
        <item x="2"/>
        <item x="7"/>
        <item t="default"/>
      </items>
    </pivotField>
    <pivotField showAll="0"/>
    <pivotField showAll="0"/>
    <pivotField axis="axisRow" showAll="0">
      <items count="8">
        <item x="2"/>
        <item x="5"/>
        <item x="1"/>
        <item x="3"/>
        <item x="0"/>
        <item x="4"/>
        <item h="1" x="6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3" hier="-1"/>
  </pageFields>
  <dataFields count="1">
    <dataField name="Count of CLIENT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1BC91-67B8-7049-B0DA-916D26BF4011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3:F9" firstHeaderRow="1" firstDataRow="1" firstDataCol="1"/>
  <pivotFields count="13">
    <pivotField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x="15"/>
        <item x="0"/>
        <item t="default"/>
      </items>
    </pivotField>
    <pivotField showAll="0"/>
    <pivotField dataField="1" showAll="0"/>
    <pivotField showAll="0"/>
    <pivotField axis="axisRow" showAll="0">
      <items count="8">
        <item x="1"/>
        <item x="3"/>
        <item x="0"/>
        <item x="4"/>
        <item x="2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CLIENT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A7939-715D-1B48-AB8D-6404291F3BA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25:O40" firstHeaderRow="1" firstDataRow="1" firstDataCol="1" rowPageCount="2" colPageCount="1"/>
  <pivotFields count="13">
    <pivotField axis="axisRow"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h="1" x="15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5">
        <item x="2"/>
        <item x="1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dragToRow="0" dragToCol="0" dragToPage="0" showAll="0" defaultSubtota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15">
    <i>
      <x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20"/>
    </i>
    <i>
      <x v="21"/>
    </i>
    <i>
      <x v="22"/>
    </i>
    <i>
      <x v="23"/>
    </i>
    <i>
      <x v="27"/>
    </i>
    <i t="grand">
      <x/>
    </i>
  </rowItems>
  <colItems count="1">
    <i/>
  </colItems>
  <pageFields count="2">
    <pageField fld="8" hier="-1"/>
    <pageField fld="9" hier="-1"/>
  </pageFields>
  <dataFields count="1">
    <dataField name="Count of STATUS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3B53-F0AD-6749-B3F0-6B79BA80F442}" name="RankingCorretor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Ranking de Corretor">
  <location ref="P3:S10" firstHeaderRow="0" firstDataRow="1" firstDataCol="1"/>
  <pivotFields count="13">
    <pivotField showAll="0">
      <items count="31">
        <item x="1"/>
        <item m="1" x="27"/>
        <item m="1" x="28"/>
        <item m="1" x="29"/>
        <item x="2"/>
        <item x="3"/>
        <item x="4"/>
        <item x="5"/>
        <item x="6"/>
        <item x="7"/>
        <item x="8"/>
        <item x="9"/>
        <item m="1" x="19"/>
        <item m="1" x="20"/>
        <item m="1" x="21"/>
        <item m="1" x="22"/>
        <item m="1" x="23"/>
        <item m="1" x="24"/>
        <item m="1" x="25"/>
        <item m="1" x="26"/>
        <item x="10"/>
        <item x="11"/>
        <item x="12"/>
        <item x="13"/>
        <item m="1" x="18"/>
        <item m="1" x="16"/>
        <item m="1" x="17"/>
        <item x="14"/>
        <item x="15"/>
        <item x="0"/>
        <item t="default"/>
      </items>
    </pivotField>
    <pivotField showAll="0"/>
    <pivotField dataField="1" showAll="0"/>
    <pivotField axis="axisRow" showAll="0">
      <items count="9">
        <item x="1"/>
        <item x="0"/>
        <item x="6"/>
        <item x="5"/>
        <item x="4"/>
        <item x="3"/>
        <item x="2"/>
        <item h="1" x="7"/>
        <item t="default"/>
      </items>
    </pivotField>
    <pivotField showAll="0"/>
    <pivotField showAll="0"/>
    <pivotField multipleItemSelectionAllowed="1" showAll="0"/>
    <pivotField dataField="1" showAll="0"/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Clientes" fld="2" subtotal="count" baseField="0" baseItem="0"/>
    <dataField name="VGV" fld="7" baseField="0" baseItem="0" numFmtId="164"/>
    <dataField name="Venda Fechada" fld="7" subtotal="countNums" baseField="0" baseItem="0"/>
  </dataFields>
  <formats count="24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dataOnly="0" fieldPosition="0">
        <references count="1">
          <reference field="3" count="0"/>
        </references>
      </pivotArea>
    </format>
    <format dxfId="17">
      <pivotArea collapsedLevelsAreSubtotals="1" fieldPosition="0">
        <references count="1">
          <reference field="3" count="1">
            <x v="6"/>
          </reference>
        </references>
      </pivotArea>
    </format>
    <format dxfId="16">
      <pivotArea dataOnly="0" labelOnly="1" fieldPosition="0">
        <references count="1">
          <reference field="3" count="1">
            <x v="6"/>
          </reference>
        </references>
      </pivotArea>
    </format>
    <format dxfId="15">
      <pivotArea field="3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3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0F29B-F2F6-8C47-802D-1C13479C1BB1}" name="Table1" displayName="Table1" ref="A2:D31" headerRowCount="0">
  <tableColumns count="4">
    <tableColumn id="1" xr3:uid="{8025B8C3-9FEB-7046-AEDB-7CA571F45E1D}" name="Column1" totalsRowLabel="Total"/>
    <tableColumn id="2" xr3:uid="{F5E5767F-1563-6849-B39F-0680C43232C7}" name="Column2"/>
    <tableColumn id="3" xr3:uid="{142ECF29-2D6A-A340-B24F-77777EE261B4}" name="Column3"/>
    <tableColumn id="4" xr3:uid="{80F58A6F-42F4-2147-82B2-F4552E81EA6F}" name="Column4" totalsRowFunction="count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B49F39-F315-8543-9A91-3AC1245FCBAD}" name="Table14" displayName="Table14" ref="A2:J32" headerRowDxfId="37">
  <autoFilter ref="A2:J32" xr:uid="{14B49F39-F315-8543-9A91-3AC1245FCB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>
      <filters>
        <filter val="Abril"/>
        <filter val="Maio"/>
      </filters>
    </filterColumn>
    <filterColumn colId="9" hiddenButton="1">
      <filters>
        <filter val="2026"/>
      </filters>
    </filterColumn>
  </autoFilter>
  <tableColumns count="10">
    <tableColumn id="1" xr3:uid="{3D479081-58D4-EA4A-A9D9-E15BCD805BBA}" name="DATA" totalsRowLabel="Total"/>
    <tableColumn id="2" xr3:uid="{145084F8-45AD-5A40-A3D3-2C5F92873247}" name="EMPRENDIMENTO"/>
    <tableColumn id="3" xr3:uid="{F5A127B0-5237-6C45-8ED8-F659D9B7522D}" name="CLIENTE"/>
    <tableColumn id="4" xr3:uid="{412E970B-2C83-3E4F-B144-6ECB127A52F9}" name="CORRETOR(A)" totalsRowFunction="count"/>
    <tableColumn id="5" xr3:uid="{FAA8CE93-6066-C940-B6E2-E8B17839A21E}" name="ORIGEM"/>
    <tableColumn id="6" xr3:uid="{8A1D4224-6531-F24A-88CE-68128A79F3DD}" name="VALOR PEDIDO"/>
    <tableColumn id="7" xr3:uid="{8D3068E9-1F66-174D-BFE2-DF3612B162B7}" name="STATUS"/>
    <tableColumn id="8" xr3:uid="{0DF50EFD-3A77-6043-B721-3525886F0949}" name="VALOR VENDA" dataDxfId="36" dataCellStyle="Currency"/>
    <tableColumn id="9" xr3:uid="{59520259-4025-C249-8ECA-0CB32EB976B9}" name="Mês"/>
    <tableColumn id="10" xr3:uid="{C703E690-C78B-CA4A-875D-F697331523FD}" name="An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4104BC-841C-C04A-A39A-7B823EE8A099}" name="Table5" displayName="Table5" ref="A2:E31" totalsRowShown="0" headerRowDxfId="35" dataDxfId="34">
  <autoFilter ref="A2:E31" xr:uid="{F94104BC-841C-C04A-A39A-7B823EE8A09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AA1DAAC-A8DD-AE49-B3A8-C01CC12D6790}" name="ID CLIENTE" dataDxfId="33"/>
    <tableColumn id="2" xr3:uid="{1714003E-8A52-F34B-95F2-C1DE2FC6D0DF}" name="MÊS/ANO" dataDxfId="32"/>
    <tableColumn id="3" xr3:uid="{A2EDAE0E-99BA-5041-A37D-5614D2507D56}" name="ANO" dataDxfId="31"/>
    <tableColumn id="4" xr3:uid="{94820285-D393-4942-8362-D93EB91F670D}" name="TICKET EFETIVO" dataDxfId="30"/>
    <tableColumn id="5" xr3:uid="{74A33944-46E5-E644-B9F3-F1DBD57DD5BF}" name="VENDA FECHADA" dataDxfId="29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8BB5AF-5B4D-2543-9071-22A874562E7D}" name="Table6" displayName="Table6" ref="A2:B9" totalsRowShown="0" headerRowDxfId="4" dataDxfId="2" headerRowBorderDxfId="3">
  <autoFilter ref="A2:B9" xr:uid="{B48BB5AF-5B4D-2543-9071-22A874562E7D}">
    <filterColumn colId="0" hiddenButton="1"/>
    <filterColumn colId="1" hiddenButton="1"/>
  </autoFilter>
  <tableColumns count="2">
    <tableColumn id="1" xr3:uid="{52DBEAD7-4423-8C4C-A261-2FC4084F2CDC}" name="INDICADOR" dataDxfId="1"/>
    <tableColumn id="2" xr3:uid="{B54FD64E-813C-1941-B562-357B665D9A5D}" name="VALOR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7FC5-8389-3349-B357-297B9E009D33}">
  <dimension ref="B1:M18"/>
  <sheetViews>
    <sheetView showGridLines="0" workbookViewId="0">
      <selection activeCell="D23" sqref="D23"/>
    </sheetView>
  </sheetViews>
  <sheetFormatPr baseColWidth="10" defaultRowHeight="16"/>
  <sheetData>
    <row r="1" spans="2:13" s="7" customFormat="1" ht="68" customHeight="1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</row>
    <row r="5" spans="2:13" ht="29">
      <c r="B5" s="2" t="s">
        <v>3</v>
      </c>
      <c r="C5" s="3"/>
      <c r="D5" s="3"/>
      <c r="E5" s="3"/>
      <c r="F5" s="3"/>
      <c r="G5" s="3"/>
      <c r="H5" s="4"/>
      <c r="I5" s="4"/>
      <c r="J5" s="4"/>
      <c r="K5" s="4"/>
      <c r="L5" s="4"/>
      <c r="M5" s="4"/>
    </row>
    <row r="6" spans="2:13" ht="29">
      <c r="B6" s="3" t="s">
        <v>1</v>
      </c>
      <c r="C6" s="3"/>
      <c r="D6" s="3"/>
      <c r="E6" s="3"/>
      <c r="F6" s="3"/>
      <c r="G6" s="3"/>
      <c r="H6" s="4"/>
      <c r="I6" s="4"/>
      <c r="J6" s="4"/>
      <c r="K6" s="4"/>
      <c r="L6" s="4"/>
      <c r="M6" s="4"/>
    </row>
    <row r="7" spans="2:13" ht="29">
      <c r="B7" s="3" t="s">
        <v>2</v>
      </c>
      <c r="C7" s="3"/>
      <c r="D7" s="3"/>
      <c r="E7" s="3"/>
      <c r="F7" s="3"/>
      <c r="G7" s="3"/>
      <c r="H7" s="4"/>
      <c r="I7" s="4"/>
      <c r="J7" s="4"/>
      <c r="K7" s="4"/>
      <c r="L7" s="4"/>
      <c r="M7" s="4"/>
    </row>
    <row r="8" spans="2:13" ht="29"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</row>
    <row r="9" spans="2:13" ht="29">
      <c r="B9" s="3"/>
      <c r="C9" s="3"/>
      <c r="D9" s="3"/>
      <c r="E9" s="3"/>
      <c r="F9" s="3"/>
      <c r="G9" s="3"/>
      <c r="H9" s="4"/>
      <c r="I9" s="4"/>
      <c r="J9" s="4"/>
      <c r="K9" s="4"/>
      <c r="L9" s="4"/>
      <c r="M9" s="4"/>
    </row>
    <row r="10" spans="2:13" ht="29">
      <c r="B10" s="3" t="s">
        <v>4</v>
      </c>
      <c r="C10" s="3"/>
      <c r="D10" s="3"/>
      <c r="E10" s="3"/>
      <c r="F10" s="3"/>
      <c r="G10" s="3"/>
      <c r="H10" s="4"/>
      <c r="I10" s="4"/>
      <c r="J10" s="4"/>
      <c r="K10" s="4"/>
      <c r="L10" s="4"/>
      <c r="M10" s="4"/>
    </row>
    <row r="11" spans="2:13" ht="29">
      <c r="B11" s="2" t="s">
        <v>5</v>
      </c>
      <c r="C11" s="3"/>
      <c r="D11" s="3"/>
      <c r="E11" s="3"/>
      <c r="F11" s="3"/>
      <c r="G11" s="3"/>
      <c r="H11" s="4"/>
      <c r="I11" s="4"/>
      <c r="J11" s="4"/>
      <c r="K11" s="4"/>
      <c r="L11" s="4"/>
      <c r="M11" s="4"/>
    </row>
    <row r="12" spans="2:13" ht="29">
      <c r="B12" s="2" t="s">
        <v>6</v>
      </c>
      <c r="C12" s="3"/>
      <c r="D12" s="3"/>
      <c r="E12" s="3"/>
      <c r="F12" s="3"/>
      <c r="G12" s="3"/>
      <c r="H12" s="4"/>
      <c r="I12" s="4"/>
      <c r="J12" s="4"/>
      <c r="K12" s="4"/>
      <c r="L12" s="4"/>
      <c r="M12" s="4"/>
    </row>
    <row r="13" spans="2:13" ht="29">
      <c r="B13" s="3"/>
      <c r="C13" s="3"/>
      <c r="D13" s="3"/>
      <c r="E13" s="3"/>
      <c r="F13" s="3"/>
      <c r="G13" s="3"/>
      <c r="H13" s="4"/>
      <c r="I13" s="4"/>
      <c r="J13" s="4"/>
      <c r="K13" s="4"/>
      <c r="L13" s="4"/>
      <c r="M13" s="4"/>
    </row>
    <row r="14" spans="2:13" ht="29">
      <c r="B14" s="3"/>
      <c r="C14" s="3"/>
      <c r="D14" s="3"/>
      <c r="E14" s="3"/>
      <c r="F14" s="3"/>
      <c r="G14" s="3"/>
      <c r="H14" s="4"/>
      <c r="I14" s="4"/>
      <c r="J14" s="4"/>
      <c r="K14" s="4"/>
      <c r="L14" s="4"/>
      <c r="M14" s="4"/>
    </row>
    <row r="15" spans="2:13" ht="29">
      <c r="B15" s="2" t="s">
        <v>7</v>
      </c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</row>
    <row r="16" spans="2:13" ht="29">
      <c r="B16" s="2" t="s">
        <v>8</v>
      </c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</row>
    <row r="17" spans="2:13" ht="29">
      <c r="B17" s="3"/>
      <c r="C17" s="3"/>
      <c r="D17" s="3"/>
      <c r="E17" s="3"/>
      <c r="F17" s="3"/>
      <c r="G17" s="3"/>
      <c r="H17" s="4"/>
      <c r="I17" s="4"/>
      <c r="J17" s="4"/>
      <c r="K17" s="4"/>
      <c r="L17" s="4"/>
      <c r="M17" s="4"/>
    </row>
    <row r="18" spans="2:13" ht="23">
      <c r="B18" s="1"/>
      <c r="C18" s="1"/>
      <c r="D18" s="1"/>
      <c r="E18" s="1"/>
      <c r="F18" s="1"/>
      <c r="G18" s="1"/>
    </row>
  </sheetData>
  <mergeCells count="1">
    <mergeCell ref="B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4DC0-E5A0-174D-9133-302C17EC0171}">
  <dimension ref="A1:D45"/>
  <sheetViews>
    <sheetView showGridLines="0" zoomScale="84" workbookViewId="0">
      <selection activeCell="B37" sqref="B37"/>
    </sheetView>
  </sheetViews>
  <sheetFormatPr baseColWidth="10" defaultRowHeight="16"/>
  <cols>
    <col min="1" max="1" width="58" customWidth="1"/>
    <col min="2" max="2" width="23.33203125" customWidth="1"/>
    <col min="3" max="3" width="37.6640625" customWidth="1"/>
    <col min="4" max="4" width="21.5" customWidth="1"/>
  </cols>
  <sheetData>
    <row r="1" spans="1:4" s="7" customFormat="1" ht="50" customHeight="1">
      <c r="A1" s="9" t="s">
        <v>9</v>
      </c>
      <c r="C1" s="6"/>
    </row>
    <row r="2" spans="1:4" ht="27" customHeight="1">
      <c r="A2" s="8" t="s">
        <v>12</v>
      </c>
      <c r="B2" s="8" t="s">
        <v>11</v>
      </c>
      <c r="C2" s="8" t="s">
        <v>10</v>
      </c>
      <c r="D2" s="8" t="s">
        <v>13</v>
      </c>
    </row>
    <row r="3" spans="1:4">
      <c r="A3" s="10" t="s">
        <v>31</v>
      </c>
      <c r="B3" s="10" t="s">
        <v>32</v>
      </c>
      <c r="C3" s="10" t="s">
        <v>33</v>
      </c>
      <c r="D3" s="10" t="s">
        <v>102</v>
      </c>
    </row>
    <row r="4" spans="1:4">
      <c r="A4" s="10" t="s">
        <v>35</v>
      </c>
      <c r="B4" s="10" t="s">
        <v>36</v>
      </c>
      <c r="C4" s="10" t="s">
        <v>37</v>
      </c>
      <c r="D4" s="10" t="s">
        <v>103</v>
      </c>
    </row>
    <row r="5" spans="1:4">
      <c r="A5" s="10" t="s">
        <v>39</v>
      </c>
      <c r="B5" s="10" t="s">
        <v>40</v>
      </c>
      <c r="C5" s="10" t="s">
        <v>41</v>
      </c>
      <c r="D5" s="10" t="s">
        <v>104</v>
      </c>
    </row>
    <row r="6" spans="1:4">
      <c r="A6" s="10" t="s">
        <v>43</v>
      </c>
      <c r="B6" s="10" t="s">
        <v>44</v>
      </c>
      <c r="C6" s="10" t="s">
        <v>45</v>
      </c>
      <c r="D6" s="10" t="s">
        <v>105</v>
      </c>
    </row>
    <row r="7" spans="1:4">
      <c r="A7" s="10" t="s">
        <v>47</v>
      </c>
      <c r="B7" s="10" t="s">
        <v>48</v>
      </c>
      <c r="C7" s="10" t="s">
        <v>49</v>
      </c>
      <c r="D7" s="10" t="s">
        <v>106</v>
      </c>
    </row>
    <row r="8" spans="1:4">
      <c r="A8" s="10" t="s">
        <v>51</v>
      </c>
      <c r="B8" s="10" t="s">
        <v>52</v>
      </c>
      <c r="C8" s="10" t="s">
        <v>53</v>
      </c>
      <c r="D8" s="10" t="s">
        <v>107</v>
      </c>
    </row>
    <row r="9" spans="1:4">
      <c r="A9" s="10" t="s">
        <v>55</v>
      </c>
      <c r="B9" s="10" t="s">
        <v>56</v>
      </c>
      <c r="C9" s="10" t="s">
        <v>57</v>
      </c>
    </row>
    <row r="10" spans="1:4">
      <c r="A10" s="10"/>
      <c r="B10" s="10"/>
      <c r="C10" s="10"/>
    </row>
    <row r="45" spans="4:4" ht="17" thickBot="1">
      <c r="D45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2693-A1E3-4242-BCBA-FFEB80CB7E1F}">
  <dimension ref="A1:J35"/>
  <sheetViews>
    <sheetView showGridLines="0" zoomScale="75" zoomScaleNormal="100" workbookViewId="0">
      <selection activeCell="E68" sqref="E68"/>
    </sheetView>
  </sheetViews>
  <sheetFormatPr baseColWidth="10" defaultRowHeight="16"/>
  <cols>
    <col min="1" max="1" width="20.33203125" customWidth="1"/>
    <col min="2" max="2" width="44.83203125" customWidth="1"/>
    <col min="3" max="3" width="24.5" customWidth="1"/>
    <col min="4" max="4" width="26.5" customWidth="1"/>
    <col min="5" max="5" width="24.6640625" customWidth="1"/>
    <col min="6" max="6" width="36.5" customWidth="1"/>
    <col min="7" max="7" width="24.33203125" customWidth="1"/>
    <col min="8" max="8" width="24.83203125" style="35" customWidth="1"/>
  </cols>
  <sheetData>
    <row r="1" spans="1:10" s="7" customFormat="1" ht="53" customHeight="1">
      <c r="A1" s="9" t="s">
        <v>14</v>
      </c>
      <c r="C1" s="6"/>
      <c r="H1" s="32"/>
    </row>
    <row r="2" spans="1:10" ht="26" customHeight="1">
      <c r="A2" s="27" t="s">
        <v>15</v>
      </c>
      <c r="B2" s="27" t="s">
        <v>16</v>
      </c>
      <c r="C2" s="27" t="s">
        <v>17</v>
      </c>
      <c r="D2" s="27" t="s">
        <v>11</v>
      </c>
      <c r="E2" s="27" t="s">
        <v>10</v>
      </c>
      <c r="F2" s="27" t="s">
        <v>18</v>
      </c>
      <c r="G2" s="27" t="s">
        <v>13</v>
      </c>
      <c r="H2" s="33" t="s">
        <v>19</v>
      </c>
      <c r="I2" s="55" t="s">
        <v>115</v>
      </c>
      <c r="J2" s="27" t="s">
        <v>114</v>
      </c>
    </row>
    <row r="3" spans="1:10">
      <c r="A3" s="11">
        <v>46083</v>
      </c>
      <c r="B3" s="12" t="s">
        <v>47</v>
      </c>
      <c r="C3" s="12" t="s">
        <v>58</v>
      </c>
      <c r="D3" s="12" t="s">
        <v>32</v>
      </c>
      <c r="E3" s="12" t="s">
        <v>33</v>
      </c>
      <c r="F3" s="12" t="s">
        <v>59</v>
      </c>
      <c r="G3" s="12" t="s">
        <v>50</v>
      </c>
      <c r="H3" s="59">
        <v>440000</v>
      </c>
      <c r="I3" s="37" t="s">
        <v>124</v>
      </c>
      <c r="J3" s="57">
        <v>2026</v>
      </c>
    </row>
    <row r="4" spans="1:10">
      <c r="A4" s="11">
        <v>46144</v>
      </c>
      <c r="B4" s="12" t="s">
        <v>35</v>
      </c>
      <c r="C4" s="12" t="s">
        <v>60</v>
      </c>
      <c r="D4" s="12" t="s">
        <v>36</v>
      </c>
      <c r="E4" s="12" t="s">
        <v>37</v>
      </c>
      <c r="F4" s="12" t="s">
        <v>61</v>
      </c>
      <c r="G4" s="12" t="s">
        <v>42</v>
      </c>
      <c r="H4" s="59" t="s">
        <v>62</v>
      </c>
      <c r="I4" s="37" t="s">
        <v>116</v>
      </c>
      <c r="J4" s="57">
        <v>2026</v>
      </c>
    </row>
    <row r="5" spans="1:10">
      <c r="A5" s="11">
        <v>46144</v>
      </c>
      <c r="B5" s="12" t="s">
        <v>39</v>
      </c>
      <c r="C5" s="12" t="s">
        <v>63</v>
      </c>
      <c r="D5" s="12" t="s">
        <v>40</v>
      </c>
      <c r="E5" s="12" t="s">
        <v>41</v>
      </c>
      <c r="F5" s="12" t="s">
        <v>64</v>
      </c>
      <c r="G5" s="12" t="s">
        <v>34</v>
      </c>
      <c r="H5" s="59" t="s">
        <v>62</v>
      </c>
      <c r="I5" s="37" t="s">
        <v>116</v>
      </c>
      <c r="J5" s="57">
        <v>2026</v>
      </c>
    </row>
    <row r="6" spans="1:10">
      <c r="A6" s="11">
        <v>46144</v>
      </c>
      <c r="B6" s="12" t="s">
        <v>43</v>
      </c>
      <c r="C6" s="12" t="s">
        <v>65</v>
      </c>
      <c r="D6" s="12" t="s">
        <v>44</v>
      </c>
      <c r="E6" s="12" t="s">
        <v>45</v>
      </c>
      <c r="F6" s="12" t="s">
        <v>66</v>
      </c>
      <c r="G6" s="12" t="s">
        <v>46</v>
      </c>
      <c r="H6" s="59" t="s">
        <v>62</v>
      </c>
      <c r="I6" s="37" t="s">
        <v>116</v>
      </c>
      <c r="J6" s="57">
        <v>2026</v>
      </c>
    </row>
    <row r="7" spans="1:10">
      <c r="A7" s="11">
        <v>46144</v>
      </c>
      <c r="B7" s="12" t="s">
        <v>47</v>
      </c>
      <c r="C7" s="12" t="s">
        <v>67</v>
      </c>
      <c r="D7" s="12" t="s">
        <v>48</v>
      </c>
      <c r="E7" s="12" t="s">
        <v>33</v>
      </c>
      <c r="F7" s="12" t="s">
        <v>68</v>
      </c>
      <c r="G7" s="12" t="s">
        <v>50</v>
      </c>
      <c r="H7" s="59">
        <v>1150000</v>
      </c>
      <c r="I7" s="37" t="s">
        <v>116</v>
      </c>
      <c r="J7" s="57">
        <v>2026</v>
      </c>
    </row>
    <row r="8" spans="1:10">
      <c r="A8" s="11">
        <v>46148</v>
      </c>
      <c r="B8" s="12" t="s">
        <v>31</v>
      </c>
      <c r="C8" s="12" t="s">
        <v>69</v>
      </c>
      <c r="D8" s="12" t="s">
        <v>32</v>
      </c>
      <c r="E8" s="12" t="s">
        <v>37</v>
      </c>
      <c r="F8" s="12" t="s">
        <v>59</v>
      </c>
      <c r="G8" s="12" t="s">
        <v>54</v>
      </c>
      <c r="H8" s="59" t="s">
        <v>62</v>
      </c>
      <c r="I8" s="37" t="s">
        <v>116</v>
      </c>
      <c r="J8" s="57">
        <v>2026</v>
      </c>
    </row>
    <row r="9" spans="1:10">
      <c r="A9" s="11">
        <v>46149</v>
      </c>
      <c r="B9" s="12" t="s">
        <v>51</v>
      </c>
      <c r="C9" s="12" t="s">
        <v>70</v>
      </c>
      <c r="D9" s="12" t="s">
        <v>52</v>
      </c>
      <c r="E9" s="12" t="s">
        <v>49</v>
      </c>
      <c r="F9" s="12" t="s">
        <v>71</v>
      </c>
      <c r="G9" s="12" t="s">
        <v>38</v>
      </c>
      <c r="H9" s="59" t="s">
        <v>62</v>
      </c>
      <c r="I9" s="37" t="s">
        <v>116</v>
      </c>
      <c r="J9" s="57">
        <v>2026</v>
      </c>
    </row>
    <row r="10" spans="1:10">
      <c r="A10" s="11">
        <v>46150</v>
      </c>
      <c r="B10" s="12" t="s">
        <v>55</v>
      </c>
      <c r="C10" s="12" t="s">
        <v>72</v>
      </c>
      <c r="D10" s="12" t="s">
        <v>56</v>
      </c>
      <c r="E10" s="12" t="s">
        <v>33</v>
      </c>
      <c r="F10" s="12" t="s">
        <v>73</v>
      </c>
      <c r="G10" s="12" t="s">
        <v>34</v>
      </c>
      <c r="H10" s="59" t="s">
        <v>62</v>
      </c>
      <c r="I10" s="37" t="s">
        <v>116</v>
      </c>
      <c r="J10" s="57">
        <v>2026</v>
      </c>
    </row>
    <row r="11" spans="1:10">
      <c r="A11" s="11">
        <v>46151</v>
      </c>
      <c r="B11" s="12" t="s">
        <v>35</v>
      </c>
      <c r="C11" s="12" t="s">
        <v>74</v>
      </c>
      <c r="D11" s="12" t="s">
        <v>36</v>
      </c>
      <c r="E11" s="12" t="s">
        <v>45</v>
      </c>
      <c r="F11" s="12" t="s">
        <v>61</v>
      </c>
      <c r="G11" s="12" t="s">
        <v>46</v>
      </c>
      <c r="H11" s="59" t="s">
        <v>62</v>
      </c>
      <c r="I11" s="37" t="s">
        <v>116</v>
      </c>
      <c r="J11" s="57">
        <v>2026</v>
      </c>
    </row>
    <row r="12" spans="1:10">
      <c r="A12" s="11">
        <v>46152</v>
      </c>
      <c r="B12" s="12" t="s">
        <v>39</v>
      </c>
      <c r="C12" s="12" t="s">
        <v>75</v>
      </c>
      <c r="D12" s="12" t="s">
        <v>40</v>
      </c>
      <c r="E12" s="12" t="s">
        <v>33</v>
      </c>
      <c r="F12" s="12" t="s">
        <v>64</v>
      </c>
      <c r="G12" s="12" t="s">
        <v>54</v>
      </c>
      <c r="H12" s="59" t="s">
        <v>62</v>
      </c>
      <c r="I12" s="37" t="s">
        <v>116</v>
      </c>
      <c r="J12" s="57">
        <v>2026</v>
      </c>
    </row>
    <row r="13" spans="1:10">
      <c r="A13" s="11">
        <v>46153</v>
      </c>
      <c r="B13" s="12" t="s">
        <v>43</v>
      </c>
      <c r="C13" s="12" t="s">
        <v>76</v>
      </c>
      <c r="D13" s="12" t="s">
        <v>44</v>
      </c>
      <c r="E13" s="12" t="s">
        <v>37</v>
      </c>
      <c r="F13" s="12" t="s">
        <v>66</v>
      </c>
      <c r="G13" s="12" t="s">
        <v>42</v>
      </c>
      <c r="H13" s="59" t="s">
        <v>62</v>
      </c>
      <c r="I13" s="37" t="s">
        <v>116</v>
      </c>
      <c r="J13" s="57">
        <v>2026</v>
      </c>
    </row>
    <row r="14" spans="1:10">
      <c r="A14" s="11">
        <v>46154</v>
      </c>
      <c r="B14" s="12" t="s">
        <v>47</v>
      </c>
      <c r="C14" s="12" t="s">
        <v>77</v>
      </c>
      <c r="D14" s="12" t="s">
        <v>48</v>
      </c>
      <c r="E14" s="12" t="s">
        <v>41</v>
      </c>
      <c r="F14" s="12" t="s">
        <v>68</v>
      </c>
      <c r="G14" s="12" t="s">
        <v>34</v>
      </c>
      <c r="H14" s="59" t="s">
        <v>62</v>
      </c>
      <c r="I14" s="37" t="s">
        <v>116</v>
      </c>
      <c r="J14" s="57">
        <v>2026</v>
      </c>
    </row>
    <row r="15" spans="1:10">
      <c r="A15" s="11">
        <v>46155</v>
      </c>
      <c r="B15" s="12" t="s">
        <v>31</v>
      </c>
      <c r="C15" s="12" t="s">
        <v>78</v>
      </c>
      <c r="D15" s="12" t="s">
        <v>32</v>
      </c>
      <c r="E15" s="12" t="s">
        <v>33</v>
      </c>
      <c r="F15" s="12" t="s">
        <v>59</v>
      </c>
      <c r="G15" s="12" t="s">
        <v>50</v>
      </c>
      <c r="H15" s="59">
        <v>450000</v>
      </c>
      <c r="I15" s="37" t="s">
        <v>116</v>
      </c>
      <c r="J15" s="57">
        <v>2026</v>
      </c>
    </row>
    <row r="16" spans="1:10">
      <c r="A16" s="11">
        <v>46164</v>
      </c>
      <c r="B16" s="12" t="s">
        <v>51</v>
      </c>
      <c r="C16" s="12" t="s">
        <v>79</v>
      </c>
      <c r="D16" s="12" t="s">
        <v>52</v>
      </c>
      <c r="E16" s="12" t="s">
        <v>53</v>
      </c>
      <c r="F16" s="12" t="s">
        <v>71</v>
      </c>
      <c r="G16" s="12" t="s">
        <v>42</v>
      </c>
      <c r="H16" s="59" t="s">
        <v>62</v>
      </c>
      <c r="I16" s="37" t="s">
        <v>116</v>
      </c>
      <c r="J16" s="57">
        <v>2026</v>
      </c>
    </row>
    <row r="17" spans="1:10">
      <c r="A17" s="11">
        <v>46164</v>
      </c>
      <c r="B17" s="12" t="s">
        <v>55</v>
      </c>
      <c r="C17" s="12" t="s">
        <v>80</v>
      </c>
      <c r="D17" s="12" t="s">
        <v>56</v>
      </c>
      <c r="E17" s="12" t="s">
        <v>37</v>
      </c>
      <c r="F17" s="12" t="s">
        <v>73</v>
      </c>
      <c r="G17" s="12" t="s">
        <v>38</v>
      </c>
      <c r="H17" s="59" t="s">
        <v>62</v>
      </c>
      <c r="I17" s="37" t="s">
        <v>116</v>
      </c>
      <c r="J17" s="57">
        <v>2026</v>
      </c>
    </row>
    <row r="18" spans="1:10">
      <c r="A18" s="11">
        <v>46164</v>
      </c>
      <c r="B18" s="12" t="s">
        <v>35</v>
      </c>
      <c r="C18" s="12" t="s">
        <v>81</v>
      </c>
      <c r="D18" s="12" t="s">
        <v>36</v>
      </c>
      <c r="E18" s="12" t="s">
        <v>33</v>
      </c>
      <c r="F18" s="12" t="s">
        <v>61</v>
      </c>
      <c r="G18" s="12" t="s">
        <v>34</v>
      </c>
      <c r="H18" s="59" t="s">
        <v>62</v>
      </c>
      <c r="I18" s="37" t="s">
        <v>116</v>
      </c>
      <c r="J18" s="57">
        <v>2026</v>
      </c>
    </row>
    <row r="19" spans="1:10">
      <c r="A19" s="11">
        <v>46164</v>
      </c>
      <c r="B19" s="12" t="s">
        <v>39</v>
      </c>
      <c r="C19" s="12" t="s">
        <v>82</v>
      </c>
      <c r="D19" s="12" t="s">
        <v>40</v>
      </c>
      <c r="E19" s="12" t="s">
        <v>45</v>
      </c>
      <c r="F19" s="12" t="s">
        <v>64</v>
      </c>
      <c r="G19" s="12" t="s">
        <v>34</v>
      </c>
      <c r="H19" s="59" t="s">
        <v>62</v>
      </c>
      <c r="I19" s="37" t="s">
        <v>116</v>
      </c>
      <c r="J19" s="57">
        <v>2026</v>
      </c>
    </row>
    <row r="20" spans="1:10">
      <c r="A20" s="11">
        <v>46164</v>
      </c>
      <c r="B20" s="12" t="s">
        <v>43</v>
      </c>
      <c r="C20" s="12" t="s">
        <v>83</v>
      </c>
      <c r="D20" s="12" t="s">
        <v>44</v>
      </c>
      <c r="E20" s="12" t="s">
        <v>33</v>
      </c>
      <c r="F20" s="12" t="s">
        <v>66</v>
      </c>
      <c r="G20" s="12" t="s">
        <v>34</v>
      </c>
      <c r="H20" s="59" t="s">
        <v>62</v>
      </c>
      <c r="I20" s="37" t="s">
        <v>116</v>
      </c>
      <c r="J20" s="57">
        <v>2026</v>
      </c>
    </row>
    <row r="21" spans="1:10">
      <c r="A21" s="11">
        <v>46164</v>
      </c>
      <c r="B21" s="12" t="s">
        <v>47</v>
      </c>
      <c r="C21" s="12" t="s">
        <v>84</v>
      </c>
      <c r="D21" s="12" t="s">
        <v>48</v>
      </c>
      <c r="E21" s="12" t="s">
        <v>37</v>
      </c>
      <c r="F21" s="12" t="s">
        <v>68</v>
      </c>
      <c r="G21" s="12" t="s">
        <v>54</v>
      </c>
      <c r="H21" s="59" t="s">
        <v>62</v>
      </c>
      <c r="I21" s="37" t="s">
        <v>116</v>
      </c>
      <c r="J21" s="57">
        <v>2026</v>
      </c>
    </row>
    <row r="22" spans="1:10">
      <c r="A22" s="11">
        <v>46164</v>
      </c>
      <c r="B22" s="12" t="s">
        <v>31</v>
      </c>
      <c r="C22" s="12" t="s">
        <v>85</v>
      </c>
      <c r="D22" s="12" t="s">
        <v>32</v>
      </c>
      <c r="E22" s="12" t="s">
        <v>41</v>
      </c>
      <c r="F22" s="12" t="s">
        <v>59</v>
      </c>
      <c r="G22" s="12" t="s">
        <v>38</v>
      </c>
      <c r="H22" s="59" t="s">
        <v>62</v>
      </c>
      <c r="I22" s="37" t="s">
        <v>116</v>
      </c>
      <c r="J22" s="57">
        <v>2026</v>
      </c>
    </row>
    <row r="23" spans="1:10">
      <c r="A23" s="11">
        <v>46164</v>
      </c>
      <c r="B23" s="12" t="s">
        <v>51</v>
      </c>
      <c r="C23" s="12" t="s">
        <v>86</v>
      </c>
      <c r="D23" s="12" t="s">
        <v>52</v>
      </c>
      <c r="E23" s="12" t="s">
        <v>33</v>
      </c>
      <c r="F23" s="12" t="s">
        <v>71</v>
      </c>
      <c r="G23" s="12" t="s">
        <v>46</v>
      </c>
      <c r="H23" s="59" t="s">
        <v>62</v>
      </c>
      <c r="I23" s="37" t="s">
        <v>116</v>
      </c>
      <c r="J23" s="57">
        <v>2026</v>
      </c>
    </row>
    <row r="24" spans="1:10">
      <c r="A24" s="11">
        <v>46164</v>
      </c>
      <c r="B24" s="12" t="s">
        <v>55</v>
      </c>
      <c r="C24" s="12" t="s">
        <v>87</v>
      </c>
      <c r="D24" s="12" t="s">
        <v>56</v>
      </c>
      <c r="E24" s="12" t="s">
        <v>45</v>
      </c>
      <c r="F24" s="12" t="s">
        <v>73</v>
      </c>
      <c r="G24" s="12" t="s">
        <v>50</v>
      </c>
      <c r="H24" s="59">
        <v>285000</v>
      </c>
      <c r="I24" s="37" t="s">
        <v>116</v>
      </c>
      <c r="J24" s="57">
        <v>2026</v>
      </c>
    </row>
    <row r="25" spans="1:10">
      <c r="A25" s="11">
        <v>46165</v>
      </c>
      <c r="B25" s="12" t="s">
        <v>35</v>
      </c>
      <c r="C25" s="12" t="s">
        <v>88</v>
      </c>
      <c r="D25" s="12" t="s">
        <v>36</v>
      </c>
      <c r="E25" s="12" t="s">
        <v>33</v>
      </c>
      <c r="F25" s="12" t="s">
        <v>61</v>
      </c>
      <c r="G25" s="12" t="s">
        <v>34</v>
      </c>
      <c r="H25" s="59" t="s">
        <v>62</v>
      </c>
      <c r="I25" s="37" t="s">
        <v>116</v>
      </c>
      <c r="J25" s="57">
        <v>2026</v>
      </c>
    </row>
    <row r="26" spans="1:10">
      <c r="A26" s="11">
        <v>46166</v>
      </c>
      <c r="B26" s="12" t="s">
        <v>39</v>
      </c>
      <c r="C26" s="12" t="s">
        <v>89</v>
      </c>
      <c r="D26" s="12" t="s">
        <v>40</v>
      </c>
      <c r="E26" s="12" t="s">
        <v>37</v>
      </c>
      <c r="F26" s="12" t="s">
        <v>64</v>
      </c>
      <c r="G26" s="12" t="s">
        <v>42</v>
      </c>
      <c r="H26" s="59" t="s">
        <v>62</v>
      </c>
      <c r="I26" s="37" t="s">
        <v>116</v>
      </c>
      <c r="J26" s="57">
        <v>2026</v>
      </c>
    </row>
    <row r="27" spans="1:10">
      <c r="A27" s="11">
        <v>46166</v>
      </c>
      <c r="B27" s="12" t="s">
        <v>43</v>
      </c>
      <c r="C27" s="12" t="s">
        <v>90</v>
      </c>
      <c r="D27" s="12" t="s">
        <v>44</v>
      </c>
      <c r="E27" s="12" t="s">
        <v>53</v>
      </c>
      <c r="F27" s="12" t="s">
        <v>66</v>
      </c>
      <c r="G27" s="12" t="s">
        <v>38</v>
      </c>
      <c r="H27" s="59" t="s">
        <v>62</v>
      </c>
      <c r="I27" s="37" t="s">
        <v>116</v>
      </c>
      <c r="J27" s="57">
        <v>2026</v>
      </c>
    </row>
    <row r="28" spans="1:10">
      <c r="A28" s="11">
        <v>46166</v>
      </c>
      <c r="B28" s="12" t="s">
        <v>47</v>
      </c>
      <c r="C28" s="12" t="s">
        <v>91</v>
      </c>
      <c r="D28" s="12" t="s">
        <v>48</v>
      </c>
      <c r="E28" s="12" t="s">
        <v>45</v>
      </c>
      <c r="F28" s="12" t="s">
        <v>68</v>
      </c>
      <c r="G28" s="12" t="s">
        <v>50</v>
      </c>
      <c r="H28" s="59">
        <v>1200000</v>
      </c>
      <c r="I28" s="37" t="s">
        <v>116</v>
      </c>
      <c r="J28" s="57">
        <v>2026</v>
      </c>
    </row>
    <row r="29" spans="1:10">
      <c r="A29" s="11">
        <v>46169</v>
      </c>
      <c r="B29" s="12" t="s">
        <v>31</v>
      </c>
      <c r="C29" s="12" t="s">
        <v>92</v>
      </c>
      <c r="D29" s="12" t="s">
        <v>32</v>
      </c>
      <c r="E29" s="12" t="s">
        <v>33</v>
      </c>
      <c r="F29" s="12" t="s">
        <v>59</v>
      </c>
      <c r="G29" s="12" t="s">
        <v>34</v>
      </c>
      <c r="H29" s="59" t="s">
        <v>62</v>
      </c>
      <c r="I29" s="37" t="s">
        <v>116</v>
      </c>
      <c r="J29" s="57">
        <v>2026</v>
      </c>
    </row>
    <row r="30" spans="1:10">
      <c r="A30" s="11">
        <v>46201</v>
      </c>
      <c r="B30" s="12" t="s">
        <v>51</v>
      </c>
      <c r="C30" s="12" t="s">
        <v>93</v>
      </c>
      <c r="D30" s="12" t="s">
        <v>52</v>
      </c>
      <c r="E30" s="12" t="s">
        <v>37</v>
      </c>
      <c r="F30" s="12" t="s">
        <v>71</v>
      </c>
      <c r="G30" s="12" t="s">
        <v>34</v>
      </c>
      <c r="H30" s="59" t="s">
        <v>62</v>
      </c>
      <c r="I30" s="37" t="s">
        <v>118</v>
      </c>
      <c r="J30" s="57">
        <v>2026</v>
      </c>
    </row>
    <row r="31" spans="1:10" hidden="1">
      <c r="A31" s="11"/>
      <c r="B31" s="12"/>
      <c r="C31" s="12"/>
      <c r="D31" s="12"/>
      <c r="E31" s="12"/>
      <c r="F31" s="12"/>
      <c r="G31" s="12"/>
      <c r="H31" s="34"/>
      <c r="I31" s="37"/>
    </row>
    <row r="32" spans="1:10" hidden="1">
      <c r="I32" s="37"/>
    </row>
    <row r="35" spans="8:8">
      <c r="H35" s="58"/>
    </row>
  </sheetData>
  <dataValidations count="5">
    <dataValidation type="list" allowBlank="1" showInputMessage="1" showErrorMessage="1" sqref="B3:B32" xr:uid="{87D3518D-77A3-DD47-B96F-E860146E425C}">
      <formula1>ListaEmpreendimentos</formula1>
    </dataValidation>
    <dataValidation type="list" allowBlank="1" showInputMessage="1" showErrorMessage="1" sqref="D3:D32" xr:uid="{FAF8C473-404C-FD4A-936A-C8C4EDDBBF4B}">
      <formula1>ListaCorretores</formula1>
    </dataValidation>
    <dataValidation type="list" allowBlank="1" showInputMessage="1" showErrorMessage="1" sqref="E3:E32" xr:uid="{FC50E185-0DC1-7844-AF14-4D9EEDE19FFD}">
      <formula1>ListaOrigem</formula1>
    </dataValidation>
    <dataValidation type="list" allowBlank="1" showInputMessage="1" showErrorMessage="1" sqref="I2:I30" xr:uid="{D008A717-1678-E640-A734-AC660E6BAC0C}">
      <formula1>$I$2:$I$30</formula1>
    </dataValidation>
    <dataValidation type="list" allowBlank="1" showInputMessage="1" showErrorMessage="1" sqref="J2" xr:uid="{A410259D-C720-814A-8122-60812C261079}">
      <formula1>$J$2:$J$30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ADA5-2EAD-BD42-A290-75A84DAB0536}">
  <dimension ref="A1:H32"/>
  <sheetViews>
    <sheetView showGridLines="0" zoomScale="101" workbookViewId="0">
      <selection activeCell="A31" sqref="A31"/>
    </sheetView>
  </sheetViews>
  <sheetFormatPr baseColWidth="10" defaultRowHeight="16"/>
  <cols>
    <col min="1" max="1" width="19.1640625" customWidth="1"/>
    <col min="2" max="2" width="19" customWidth="1"/>
    <col min="3" max="3" width="22.6640625" customWidth="1"/>
    <col min="4" max="4" width="21.33203125" style="14" customWidth="1"/>
    <col min="5" max="5" width="24.5" customWidth="1"/>
  </cols>
  <sheetData>
    <row r="1" spans="1:8" s="7" customFormat="1" ht="34">
      <c r="A1" s="6" t="s">
        <v>23</v>
      </c>
      <c r="C1" s="6"/>
      <c r="D1" s="13"/>
    </row>
    <row r="2" spans="1:8" ht="19">
      <c r="A2" s="28" t="s">
        <v>20</v>
      </c>
      <c r="B2" s="28" t="s">
        <v>21</v>
      </c>
      <c r="C2" s="28" t="s">
        <v>22</v>
      </c>
      <c r="D2" s="28" t="s">
        <v>94</v>
      </c>
      <c r="E2" s="28" t="s">
        <v>95</v>
      </c>
      <c r="F2" s="27"/>
      <c r="G2" s="27"/>
      <c r="H2" s="27"/>
    </row>
    <row r="3" spans="1:8">
      <c r="A3" s="11" t="str">
        <f>Table14[[#This Row],[CLIENTE]]</f>
        <v>João Pedro Silva</v>
      </c>
      <c r="B3" s="29" t="str">
        <f>TEXT(Table14[[#This Row],[DATA]],"mm/yy")</f>
        <v>03/26</v>
      </c>
      <c r="C3" s="12">
        <f>YEAR(Table14[[#This Row],[DATA]])</f>
        <v>2026</v>
      </c>
      <c r="D3" s="12">
        <f>IF(BASE_DADOS!G3="5. Venda Fechada", VALUE(SUBSTITUTE(SUBSTITUTE(TEXT(BASE_DADOS!H3, "0"), "R$", ""), ".", "")), 0)</f>
        <v>440000</v>
      </c>
      <c r="E3" s="12">
        <f>IF(BASE_DADOS!G3="5. Venda Fechada", 1, 0)</f>
        <v>1</v>
      </c>
      <c r="F3" s="12"/>
      <c r="G3" s="12"/>
      <c r="H3" s="12"/>
    </row>
    <row r="4" spans="1:8">
      <c r="A4" s="11" t="str">
        <f>Table14[[#This Row],[CLIENTE]]</f>
        <v>Maria Clara Santos</v>
      </c>
      <c r="B4" s="29" t="str">
        <f>TEXT(Table14[[#This Row],[DATA]],"mm/yy")</f>
        <v>05/26</v>
      </c>
      <c r="C4" s="12">
        <f>YEAR(Table14[[#This Row],[DATA]])</f>
        <v>2026</v>
      </c>
      <c r="D4" s="12">
        <f>IF(BASE_DADOS!G4="5. Venda Fechada", VALUE(SUBSTITUTE(SUBSTITUTE(TEXT(BASE_DADOS!H4, "0"), "R$", ""), ".", "")), 0)</f>
        <v>0</v>
      </c>
      <c r="E4" s="12">
        <f>IF(BASE_DADOS!G4="5. Venda Fechada", 1, 0)</f>
        <v>0</v>
      </c>
      <c r="F4" s="12"/>
      <c r="G4" s="12"/>
      <c r="H4" s="12"/>
    </row>
    <row r="5" spans="1:8">
      <c r="A5" s="11" t="str">
        <f>Table14[[#This Row],[CLIENTE]]</f>
        <v>Lucas Oliveira</v>
      </c>
      <c r="B5" s="29" t="str">
        <f>TEXT(Table14[[#This Row],[DATA]],"mm/yy")</f>
        <v>05/26</v>
      </c>
      <c r="C5" s="12">
        <f>YEAR(Table14[[#This Row],[DATA]])</f>
        <v>2026</v>
      </c>
      <c r="D5" s="12">
        <f>IF(BASE_DADOS!G5="5. Venda Fechada", VALUE(SUBSTITUTE(SUBSTITUTE(TEXT(BASE_DADOS!H5, "0"), "R$", ""), ".", "")), 0)</f>
        <v>0</v>
      </c>
      <c r="E5" s="12">
        <f>IF(BASE_DADOS!G5="5. Venda Fechada", 1, 0)</f>
        <v>0</v>
      </c>
      <c r="F5" s="12"/>
      <c r="G5" s="12"/>
      <c r="H5" s="12"/>
    </row>
    <row r="6" spans="1:8">
      <c r="A6" s="11" t="str">
        <f>Table14[[#This Row],[CLIENTE]]</f>
        <v>Beatrys Rocha</v>
      </c>
      <c r="B6" s="29" t="str">
        <f>TEXT(Table14[[#This Row],[DATA]],"mm/yy")</f>
        <v>05/26</v>
      </c>
      <c r="C6" s="12">
        <f>YEAR(Table14[[#This Row],[DATA]])</f>
        <v>2026</v>
      </c>
      <c r="D6" s="12">
        <f>IF(BASE_DADOS!G6="5. Venda Fechada", VALUE(SUBSTITUTE(SUBSTITUTE(TEXT(BASE_DADOS!H6, "0"), "R$", ""), ".", "")), 0)</f>
        <v>0</v>
      </c>
      <c r="E6" s="12">
        <f>IF(BASE_DADOS!G6="5. Venda Fechada", 1, 0)</f>
        <v>0</v>
      </c>
      <c r="F6" s="12"/>
      <c r="G6" s="12"/>
      <c r="H6" s="12"/>
    </row>
    <row r="7" spans="1:8">
      <c r="A7" s="11" t="str">
        <f>Table14[[#This Row],[CLIENTE]]</f>
        <v>Gabriel Souza</v>
      </c>
      <c r="B7" s="29" t="str">
        <f>TEXT(Table14[[#This Row],[DATA]],"mm/yy")</f>
        <v>05/26</v>
      </c>
      <c r="C7" s="12">
        <f>YEAR(Table14[[#This Row],[DATA]])</f>
        <v>2026</v>
      </c>
      <c r="D7" s="12">
        <f>IF(BASE_DADOS!G7="5. Venda Fechada", VALUE(SUBSTITUTE(SUBSTITUTE(TEXT(BASE_DADOS!H7, "0"), "R$", ""), ".", "")), 0)</f>
        <v>1150000</v>
      </c>
      <c r="E7" s="12">
        <f>IF(BASE_DADOS!G7="5. Venda Fechada", 1, 0)</f>
        <v>1</v>
      </c>
      <c r="F7" s="12"/>
      <c r="G7" s="12"/>
      <c r="H7" s="12"/>
    </row>
    <row r="8" spans="1:8">
      <c r="A8" s="11" t="str">
        <f>Table14[[#This Row],[CLIENTE]]</f>
        <v>Patricia Lima</v>
      </c>
      <c r="B8" s="29" t="str">
        <f>TEXT(Table14[[#This Row],[DATA]],"mm/yy")</f>
        <v>05/26</v>
      </c>
      <c r="C8" s="12">
        <f>YEAR(Table14[[#This Row],[DATA]])</f>
        <v>2026</v>
      </c>
      <c r="D8" s="12">
        <f>IF(BASE_DADOS!G8="5. Venda Fechada", VALUE(SUBSTITUTE(SUBSTITUTE(TEXT(BASE_DADOS!H8, "0"), "R$", ""), ".", "")), 0)</f>
        <v>0</v>
      </c>
      <c r="E8" s="12">
        <f>IF(BASE_DADOS!G8="5. Venda Fechada", 1, 0)</f>
        <v>0</v>
      </c>
      <c r="F8" s="12"/>
      <c r="G8" s="12"/>
      <c r="H8" s="12"/>
    </row>
    <row r="9" spans="1:8">
      <c r="A9" s="11" t="str">
        <f>Table14[[#This Row],[CLIENTE]]</f>
        <v>Rodrigo Alves</v>
      </c>
      <c r="B9" s="29" t="str">
        <f>TEXT(Table14[[#This Row],[DATA]],"mm/yy")</f>
        <v>05/26</v>
      </c>
      <c r="C9" s="12">
        <f>YEAR(Table14[[#This Row],[DATA]])</f>
        <v>2026</v>
      </c>
      <c r="D9" s="12">
        <f>IF(BASE_DADOS!G9="5. Venda Fechada", VALUE(SUBSTITUTE(SUBSTITUTE(TEXT(BASE_DADOS!H9, "0"), "R$", ""), ".", "")), 0)</f>
        <v>0</v>
      </c>
      <c r="E9" s="12">
        <f>IF(BASE_DADOS!G9="5. Venda Fechada", 1, 0)</f>
        <v>0</v>
      </c>
      <c r="F9" s="12"/>
      <c r="G9" s="12"/>
      <c r="H9" s="12"/>
    </row>
    <row r="10" spans="1:8">
      <c r="A10" s="11" t="str">
        <f>Table14[[#This Row],[CLIENTE]]</f>
        <v>Camila Ribeiro</v>
      </c>
      <c r="B10" s="29" t="str">
        <f>TEXT(Table14[[#This Row],[DATA]],"mm/yy")</f>
        <v>05/26</v>
      </c>
      <c r="C10" s="12">
        <f>YEAR(Table14[[#This Row],[DATA]])</f>
        <v>2026</v>
      </c>
      <c r="D10" s="12">
        <f>IF(BASE_DADOS!G10="5. Venda Fechada", VALUE(SUBSTITUTE(SUBSTITUTE(TEXT(BASE_DADOS!H10, "0"), "R$", ""), ".", "")), 0)</f>
        <v>0</v>
      </c>
      <c r="E10" s="12">
        <f>IF(BASE_DADOS!G10="5. Venda Fechada", 1, 0)</f>
        <v>0</v>
      </c>
      <c r="F10" s="12"/>
      <c r="G10" s="12"/>
      <c r="H10" s="12"/>
    </row>
    <row r="11" spans="1:8">
      <c r="A11" s="11" t="str">
        <f>Table14[[#This Row],[CLIENTE]]</f>
        <v>Marcelo Castro</v>
      </c>
      <c r="B11" s="29" t="str">
        <f>TEXT(Table14[[#This Row],[DATA]],"mm/yy")</f>
        <v>05/26</v>
      </c>
      <c r="C11" s="12">
        <f>YEAR(Table14[[#This Row],[DATA]])</f>
        <v>2026</v>
      </c>
      <c r="D11" s="12">
        <f>IF(BASE_DADOS!G11="5. Venda Fechada", VALUE(SUBSTITUTE(SUBSTITUTE(TEXT(BASE_DADOS!H11, "0"), "R$", ""), ".", "")), 0)</f>
        <v>0</v>
      </c>
      <c r="E11" s="12">
        <f>IF(BASE_DADOS!G11="5. Venda Fechada", 1, 0)</f>
        <v>0</v>
      </c>
      <c r="F11" s="12"/>
      <c r="G11" s="12"/>
      <c r="H11" s="12"/>
    </row>
    <row r="12" spans="1:8">
      <c r="A12" s="11" t="str">
        <f>Table14[[#This Row],[CLIENTE]]</f>
        <v>Fernanda Gomes</v>
      </c>
      <c r="B12" s="29" t="str">
        <f>TEXT(Table14[[#This Row],[DATA]],"mm/yy")</f>
        <v>05/26</v>
      </c>
      <c r="C12" s="12">
        <f>YEAR(Table14[[#This Row],[DATA]])</f>
        <v>2026</v>
      </c>
      <c r="D12" s="12">
        <f>IF(BASE_DADOS!G12="5. Venda Fechada", VALUE(SUBSTITUTE(SUBSTITUTE(TEXT(BASE_DADOS!H12, "0"), "R$", ""), ".", "")), 0)</f>
        <v>0</v>
      </c>
      <c r="E12" s="12">
        <f>IF(BASE_DADOS!G12="5. Venda Fechada", 1, 0)</f>
        <v>0</v>
      </c>
      <c r="F12" s="12"/>
      <c r="G12" s="12"/>
      <c r="H12" s="12"/>
    </row>
    <row r="13" spans="1:8">
      <c r="A13" s="11" t="str">
        <f>Table14[[#This Row],[CLIENTE]]</f>
        <v>André Martins</v>
      </c>
      <c r="B13" s="29" t="str">
        <f>TEXT(Table14[[#This Row],[DATA]],"mm/yy")</f>
        <v>05/26</v>
      </c>
      <c r="C13" s="12">
        <f>YEAR(Table14[[#This Row],[DATA]])</f>
        <v>2026</v>
      </c>
      <c r="D13" s="12">
        <f>IF(BASE_DADOS!G13="5. Venda Fechada", VALUE(SUBSTITUTE(SUBSTITUTE(TEXT(BASE_DADOS!H13, "0"), "R$", ""), ".", "")), 0)</f>
        <v>0</v>
      </c>
      <c r="E13" s="12">
        <f>IF(BASE_DADOS!G13="5. Venda Fechada", 1, 0)</f>
        <v>0</v>
      </c>
      <c r="F13" s="12"/>
      <c r="G13" s="12"/>
      <c r="H13" s="12"/>
    </row>
    <row r="14" spans="1:8">
      <c r="A14" s="11" t="str">
        <f>Table14[[#This Row],[CLIENTE]]</f>
        <v>Vanessa Dias</v>
      </c>
      <c r="B14" s="29" t="str">
        <f>TEXT(Table14[[#This Row],[DATA]],"mm/yy")</f>
        <v>05/26</v>
      </c>
      <c r="C14" s="12">
        <f>YEAR(Table14[[#This Row],[DATA]])</f>
        <v>2026</v>
      </c>
      <c r="D14" s="12">
        <f>IF(BASE_DADOS!G14="5. Venda Fechada", VALUE(SUBSTITUTE(SUBSTITUTE(TEXT(BASE_DADOS!H14, "0"), "R$", ""), ".", "")), 0)</f>
        <v>0</v>
      </c>
      <c r="E14" s="12">
        <f>IF(BASE_DADOS!G14="5. Venda Fechada", 1, 0)</f>
        <v>0</v>
      </c>
      <c r="F14" s="12"/>
      <c r="G14" s="12"/>
      <c r="H14" s="12"/>
    </row>
    <row r="15" spans="1:8">
      <c r="A15" s="11" t="str">
        <f>Table14[[#This Row],[CLIENTE]]</f>
        <v>Thiago Nunes</v>
      </c>
      <c r="B15" s="29" t="str">
        <f>TEXT(Table14[[#This Row],[DATA]],"mm/yy")</f>
        <v>05/26</v>
      </c>
      <c r="C15" s="12">
        <f>YEAR(Table14[[#This Row],[DATA]])</f>
        <v>2026</v>
      </c>
      <c r="D15" s="12">
        <f>IF(BASE_DADOS!G15="5. Venda Fechada", VALUE(SUBSTITUTE(SUBSTITUTE(TEXT(BASE_DADOS!H15, "0"), "R$", ""), ".", "")), 0)</f>
        <v>450000</v>
      </c>
      <c r="E15" s="12">
        <f>IF(BASE_DADOS!G15="5. Venda Fechada", 1, 0)</f>
        <v>1</v>
      </c>
      <c r="F15" s="12"/>
      <c r="G15" s="12"/>
      <c r="H15" s="12"/>
    </row>
    <row r="16" spans="1:8">
      <c r="A16" s="11" t="str">
        <f>Table14[[#This Row],[CLIENTE]]</f>
        <v>Larissa Mello</v>
      </c>
      <c r="B16" s="29" t="str">
        <f>TEXT(Table14[[#This Row],[DATA]],"mm/yy")</f>
        <v>05/26</v>
      </c>
      <c r="C16" s="12">
        <f>YEAR(Table14[[#This Row],[DATA]])</f>
        <v>2026</v>
      </c>
      <c r="D16" s="12">
        <f>IF(BASE_DADOS!G16="5. Venda Fechada", VALUE(SUBSTITUTE(SUBSTITUTE(TEXT(BASE_DADOS!H16, "0"), "R$", ""), ".", "")), 0)</f>
        <v>0</v>
      </c>
      <c r="E16" s="12">
        <f>IF(BASE_DADOS!G16="5. Venda Fechada", 1, 0)</f>
        <v>0</v>
      </c>
      <c r="F16" s="12"/>
      <c r="G16" s="12"/>
      <c r="H16" s="12"/>
    </row>
    <row r="17" spans="1:8">
      <c r="A17" s="11" t="str">
        <f>Table14[[#This Row],[CLIENTE]]</f>
        <v>Diego Fernandes</v>
      </c>
      <c r="B17" s="29" t="str">
        <f>TEXT(Table14[[#This Row],[DATA]],"mm/yy")</f>
        <v>05/26</v>
      </c>
      <c r="C17" s="12">
        <f>YEAR(Table14[[#This Row],[DATA]])</f>
        <v>2026</v>
      </c>
      <c r="D17" s="12">
        <f>IF(BASE_DADOS!G17="5. Venda Fechada", VALUE(SUBSTITUTE(SUBSTITUTE(TEXT(BASE_DADOS!H17, "0"), "R$", ""), ".", "")), 0)</f>
        <v>0</v>
      </c>
      <c r="E17" s="12">
        <f>IF(BASE_DADOS!G17="5. Venda Fechada", 1, 0)</f>
        <v>0</v>
      </c>
      <c r="F17" s="12"/>
      <c r="G17" s="12"/>
      <c r="H17" s="12"/>
    </row>
    <row r="18" spans="1:8">
      <c r="A18" s="11" t="str">
        <f>Table14[[#This Row],[CLIENTE]]</f>
        <v>Bruno Carvalho</v>
      </c>
      <c r="B18" s="29" t="str">
        <f>TEXT(Table14[[#This Row],[DATA]],"mm/yy")</f>
        <v>05/26</v>
      </c>
      <c r="C18" s="12">
        <f>YEAR(Table14[[#This Row],[DATA]])</f>
        <v>2026</v>
      </c>
      <c r="D18" s="12">
        <f>IF(BASE_DADOS!G18="5. Venda Fechada", VALUE(SUBSTITUTE(SUBSTITUTE(TEXT(BASE_DADOS!H18, "0"), "R$", ""), ".", "")), 0)</f>
        <v>0</v>
      </c>
      <c r="E18" s="12">
        <f>IF(BASE_DADOS!G18="5. Venda Fechada", 1, 0)</f>
        <v>0</v>
      </c>
      <c r="F18" s="12"/>
      <c r="G18" s="12"/>
      <c r="H18" s="12"/>
    </row>
    <row r="19" spans="1:8">
      <c r="A19" s="11" t="str">
        <f>Table14[[#This Row],[CLIENTE]]</f>
        <v>Renata Silveira</v>
      </c>
      <c r="B19" s="29" t="str">
        <f>TEXT(Table14[[#This Row],[DATA]],"mm/yy")</f>
        <v>05/26</v>
      </c>
      <c r="C19" s="12">
        <f>YEAR(Table14[[#This Row],[DATA]])</f>
        <v>2026</v>
      </c>
      <c r="D19" s="12">
        <f>IF(BASE_DADOS!G19="5. Venda Fechada", VALUE(SUBSTITUTE(SUBSTITUTE(TEXT(BASE_DADOS!H19, "0"), "R$", ""), ".", "")), 0)</f>
        <v>0</v>
      </c>
      <c r="E19" s="12">
        <f>IF(BASE_DADOS!G19="5. Venda Fechada", 1, 0)</f>
        <v>0</v>
      </c>
      <c r="F19" s="12"/>
      <c r="G19" s="12"/>
      <c r="H19" s="12"/>
    </row>
    <row r="20" spans="1:8">
      <c r="A20" s="11" t="str">
        <f>Table14[[#This Row],[CLIENTE]]</f>
        <v>Caio Henrique</v>
      </c>
      <c r="B20" s="29" t="str">
        <f>TEXT(Table14[[#This Row],[DATA]],"mm/yy")</f>
        <v>05/26</v>
      </c>
      <c r="C20" s="12">
        <f>YEAR(Table14[[#This Row],[DATA]])</f>
        <v>2026</v>
      </c>
      <c r="D20" s="12">
        <f>IF(BASE_DADOS!G20="5. Venda Fechada", VALUE(SUBSTITUTE(SUBSTITUTE(TEXT(BASE_DADOS!H20, "0"), "R$", ""), ".", "")), 0)</f>
        <v>0</v>
      </c>
      <c r="E20" s="12">
        <f>IF(BASE_DADOS!G20="5. Venda Fechada", 1, 0)</f>
        <v>0</v>
      </c>
      <c r="F20" s="12"/>
      <c r="G20" s="12"/>
      <c r="H20" s="12"/>
    </row>
    <row r="21" spans="1:8">
      <c r="A21" s="11" t="str">
        <f>Table14[[#This Row],[CLIENTE]]</f>
        <v>Tatiana Lopes</v>
      </c>
      <c r="B21" s="29" t="str">
        <f>TEXT(Table14[[#This Row],[DATA]],"mm/yy")</f>
        <v>05/26</v>
      </c>
      <c r="C21" s="12">
        <f>YEAR(Table14[[#This Row],[DATA]])</f>
        <v>2026</v>
      </c>
      <c r="D21" s="12">
        <f>IF(BASE_DADOS!G21="5. Venda Fechada", VALUE(SUBSTITUTE(SUBSTITUTE(TEXT(BASE_DADOS!H21, "0"), "R$", ""), ".", "")), 0)</f>
        <v>0</v>
      </c>
      <c r="E21" s="12">
        <f>IF(BASE_DADOS!G21="5. Venda Fechada", 1, 0)</f>
        <v>0</v>
      </c>
      <c r="F21" s="12"/>
      <c r="G21" s="12"/>
      <c r="H21" s="12"/>
    </row>
    <row r="22" spans="1:8">
      <c r="A22" s="11" t="str">
        <f>Table14[[#This Row],[CLIENTE]]</f>
        <v>Fabio Junqueira</v>
      </c>
      <c r="B22" s="29" t="str">
        <f>TEXT(Table14[[#This Row],[DATA]],"mm/yy")</f>
        <v>05/26</v>
      </c>
      <c r="C22" s="12">
        <f>YEAR(Table14[[#This Row],[DATA]])</f>
        <v>2026</v>
      </c>
      <c r="D22" s="12">
        <f>IF(BASE_DADOS!G22="5. Venda Fechada", VALUE(SUBSTITUTE(SUBSTITUTE(TEXT(BASE_DADOS!H22, "0"), "R$", ""), ".", "")), 0)</f>
        <v>0</v>
      </c>
      <c r="E22" s="12">
        <f>IF(BASE_DADOS!G22="5. Venda Fechada", 1, 0)</f>
        <v>0</v>
      </c>
      <c r="F22" s="12"/>
      <c r="G22" s="12"/>
      <c r="H22" s="12"/>
    </row>
    <row r="23" spans="1:8">
      <c r="A23" s="11" t="str">
        <f>Table14[[#This Row],[CLIENTE]]</f>
        <v>Leticia Prado</v>
      </c>
      <c r="B23" s="29" t="str">
        <f>TEXT(Table14[[#This Row],[DATA]],"mm/yy")</f>
        <v>05/26</v>
      </c>
      <c r="C23" s="12">
        <f>YEAR(Table14[[#This Row],[DATA]])</f>
        <v>2026</v>
      </c>
      <c r="D23" s="12">
        <f>IF(BASE_DADOS!G23="5. Venda Fechada", VALUE(SUBSTITUTE(SUBSTITUTE(TEXT(BASE_DADOS!H23, "0"), "R$", ""), ".", "")), 0)</f>
        <v>0</v>
      </c>
      <c r="E23" s="12">
        <f>IF(BASE_DADOS!G23="5. Venda Fechada", 1, 0)</f>
        <v>0</v>
      </c>
      <c r="F23" s="12"/>
      <c r="G23" s="12"/>
      <c r="H23" s="12"/>
    </row>
    <row r="24" spans="1:8">
      <c r="A24" s="11" t="str">
        <f>Table14[[#This Row],[CLIENTE]]</f>
        <v>Igor Barbosa</v>
      </c>
      <c r="B24" s="29" t="str">
        <f>TEXT(Table14[[#This Row],[DATA]],"mm/yy")</f>
        <v>05/26</v>
      </c>
      <c r="C24" s="12">
        <f>YEAR(Table14[[#This Row],[DATA]])</f>
        <v>2026</v>
      </c>
      <c r="D24" s="12">
        <f>IF(BASE_DADOS!G24="5. Venda Fechada", VALUE(SUBSTITUTE(SUBSTITUTE(TEXT(BASE_DADOS!H24, "0"), "R$", ""), ".", "")), 0)</f>
        <v>285000</v>
      </c>
      <c r="E24" s="12">
        <f>IF(BASE_DADOS!G24="5. Venda Fechada", 1, 0)</f>
        <v>1</v>
      </c>
      <c r="F24" s="12"/>
      <c r="G24" s="12"/>
      <c r="H24" s="12"/>
    </row>
    <row r="25" spans="1:8">
      <c r="A25" s="11" t="str">
        <f>Table14[[#This Row],[CLIENTE]]</f>
        <v>Daniela Ramos</v>
      </c>
      <c r="B25" s="29" t="str">
        <f>TEXT(Table14[[#This Row],[DATA]],"mm/yy")</f>
        <v>05/26</v>
      </c>
      <c r="C25" s="12">
        <f>YEAR(Table14[[#This Row],[DATA]])</f>
        <v>2026</v>
      </c>
      <c r="D25" s="12">
        <f>IF(BASE_DADOS!G25="5. Venda Fechada", VALUE(SUBSTITUTE(SUBSTITUTE(TEXT(BASE_DADOS!H25, "0"), "R$", ""), ".", "")), 0)</f>
        <v>0</v>
      </c>
      <c r="E25" s="12">
        <f>IF(BASE_DADOS!G25="5. Venda Fechada", 1, 0)</f>
        <v>0</v>
      </c>
      <c r="F25" s="12"/>
      <c r="G25" s="12"/>
      <c r="H25" s="12"/>
    </row>
    <row r="26" spans="1:8">
      <c r="A26" s="11" t="str">
        <f>Table14[[#This Row],[CLIENTE]]</f>
        <v>Gustavo Borges</v>
      </c>
      <c r="B26" s="29" t="str">
        <f>TEXT(Table14[[#This Row],[DATA]],"mm/yy")</f>
        <v>05/26</v>
      </c>
      <c r="C26" s="12">
        <f>YEAR(Table14[[#This Row],[DATA]])</f>
        <v>2026</v>
      </c>
      <c r="D26" s="12">
        <f>IF(BASE_DADOS!G26="5. Venda Fechada", VALUE(SUBSTITUTE(SUBSTITUTE(TEXT(BASE_DADOS!H26, "0"), "R$", ""), ".", "")), 0)</f>
        <v>0</v>
      </c>
      <c r="E26" s="12">
        <f>IF(BASE_DADOS!G26="5. Venda Fechada", 1, 0)</f>
        <v>0</v>
      </c>
      <c r="F26" s="12"/>
      <c r="G26" s="12"/>
      <c r="H26" s="12"/>
    </row>
    <row r="27" spans="1:8">
      <c r="A27" s="11" t="str">
        <f>Table14[[#This Row],[CLIENTE]]</f>
        <v>Amanda Freitas</v>
      </c>
      <c r="B27" s="29" t="str">
        <f>TEXT(Table14[[#This Row],[DATA]],"mm/yy")</f>
        <v>05/26</v>
      </c>
      <c r="C27" s="12">
        <f>YEAR(Table14[[#This Row],[DATA]])</f>
        <v>2026</v>
      </c>
      <c r="D27" s="12">
        <f>IF(BASE_DADOS!G27="5. Venda Fechada", VALUE(SUBSTITUTE(SUBSTITUTE(TEXT(BASE_DADOS!H27, "0"), "R$", ""), ".", "")), 0)</f>
        <v>0</v>
      </c>
      <c r="E27" s="12">
        <f>IF(BASE_DADOS!G27="5. Venda Fechada", 1, 0)</f>
        <v>0</v>
      </c>
      <c r="F27" s="12"/>
      <c r="G27" s="12"/>
      <c r="H27" s="12"/>
    </row>
    <row r="28" spans="1:8">
      <c r="A28" s="11" t="str">
        <f>Table14[[#This Row],[CLIENTE]]</f>
        <v>Leonardo Pires</v>
      </c>
      <c r="B28" s="29" t="str">
        <f>TEXT(Table14[[#This Row],[DATA]],"mm/yy")</f>
        <v>05/26</v>
      </c>
      <c r="C28" s="12">
        <f>YEAR(Table14[[#This Row],[DATA]])</f>
        <v>2026</v>
      </c>
      <c r="D28" s="12">
        <f>IF(BASE_DADOS!G28="5. Venda Fechada", VALUE(SUBSTITUTE(SUBSTITUTE(TEXT(BASE_DADOS!H28, "0"), "R$", ""), ".", "")), 0)</f>
        <v>1200000</v>
      </c>
      <c r="E28" s="12">
        <f>IF(BASE_DADOS!G28="5. Venda Fechada", 1, 0)</f>
        <v>1</v>
      </c>
      <c r="F28" s="12"/>
      <c r="G28" s="12"/>
      <c r="H28" s="12"/>
    </row>
    <row r="29" spans="1:8">
      <c r="A29" s="11" t="str">
        <f>Table14[[#This Row],[CLIENTE]]</f>
        <v>Nicole Vasconcelos</v>
      </c>
      <c r="B29" s="29" t="str">
        <f>TEXT(Table14[[#This Row],[DATA]],"mm/yy")</f>
        <v>05/26</v>
      </c>
      <c r="C29" s="12">
        <f>YEAR(Table14[[#This Row],[DATA]])</f>
        <v>2026</v>
      </c>
      <c r="D29" s="12">
        <f>IF(BASE_DADOS!G29="5. Venda Fechada", VALUE(SUBSTITUTE(SUBSTITUTE(TEXT(BASE_DADOS!H29, "0"), "R$", ""), ".", "")), 0)</f>
        <v>0</v>
      </c>
      <c r="E29" s="12">
        <f>IF(BASE_DADOS!G29="5. Venda Fechada", 1, 0)</f>
        <v>0</v>
      </c>
      <c r="F29" s="12"/>
      <c r="G29" s="12"/>
      <c r="H29" s="12"/>
    </row>
    <row r="30" spans="1:8">
      <c r="A30" s="11" t="str">
        <f>Table14[[#This Row],[CLIENTE]]</f>
        <v>Samuel Cardoso</v>
      </c>
      <c r="B30" s="29" t="str">
        <f>TEXT(Table14[[#This Row],[DATA]],"mm/yy")</f>
        <v>06/26</v>
      </c>
      <c r="C30" s="12">
        <f>YEAR(Table14[[#This Row],[DATA]])</f>
        <v>2026</v>
      </c>
      <c r="D30" s="12">
        <f>IF(BASE_DADOS!G30="5. Venda Fechada", VALUE(SUBSTITUTE(SUBSTITUTE(TEXT(BASE_DADOS!H30, "0"), "R$", ""), ".", "")), 0)</f>
        <v>0</v>
      </c>
      <c r="E30" s="12">
        <f>IF(BASE_DADOS!G30="5. Venda Fechada", 1, 0)</f>
        <v>0</v>
      </c>
      <c r="F30" s="12"/>
      <c r="G30" s="12"/>
      <c r="H30" s="12"/>
    </row>
    <row r="31" spans="1:8">
      <c r="A31" s="11"/>
      <c r="B31" s="12"/>
      <c r="C31" s="12"/>
      <c r="D31" s="12"/>
      <c r="E31" s="12"/>
    </row>
    <row r="32" spans="1:8">
      <c r="D3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F4F8-CFBE-664A-BD97-16A38DE84529}">
  <dimension ref="A1:V83"/>
  <sheetViews>
    <sheetView topLeftCell="G1" zoomScale="86" zoomScaleNormal="86" workbookViewId="0">
      <selection activeCell="M37" sqref="M37"/>
    </sheetView>
  </sheetViews>
  <sheetFormatPr baseColWidth="10" defaultRowHeight="16"/>
  <cols>
    <col min="1" max="1" width="17" bestFit="1" customWidth="1"/>
    <col min="2" max="2" width="15.5" bestFit="1" customWidth="1"/>
    <col min="3" max="3" width="14.5" style="31" bestFit="1" customWidth="1"/>
    <col min="4" max="5" width="14.83203125" bestFit="1" customWidth="1"/>
    <col min="6" max="6" width="15.5" bestFit="1" customWidth="1"/>
    <col min="7" max="7" width="14.5" bestFit="1" customWidth="1"/>
    <col min="8" max="8" width="15.1640625" bestFit="1" customWidth="1"/>
    <col min="9" max="9" width="15.5" hidden="1" customWidth="1"/>
    <col min="10" max="10" width="13" bestFit="1" customWidth="1"/>
    <col min="11" max="11" width="13.5" bestFit="1" customWidth="1"/>
    <col min="12" max="12" width="18.1640625" bestFit="1" customWidth="1"/>
    <col min="13" max="13" width="13" bestFit="1" customWidth="1"/>
    <col min="14" max="14" width="13.5" bestFit="1" customWidth="1"/>
    <col min="15" max="15" width="14.5" bestFit="1" customWidth="1"/>
    <col min="16" max="16" width="24" bestFit="1" customWidth="1"/>
    <col min="17" max="17" width="10" bestFit="1" customWidth="1"/>
    <col min="18" max="18" width="14.33203125" style="31" bestFit="1" customWidth="1"/>
    <col min="19" max="19" width="13.5" bestFit="1" customWidth="1"/>
    <col min="20" max="20" width="18.1640625" style="36" bestFit="1" customWidth="1"/>
  </cols>
  <sheetData>
    <row r="1" spans="1:22">
      <c r="A1" s="25" t="s">
        <v>11</v>
      </c>
      <c r="B1" t="s">
        <v>109</v>
      </c>
      <c r="H1" t="str" cm="1">
        <f t="array" ref="H1:H7">CADASTRO!A3:A9</f>
        <v>Residencial Horizons</v>
      </c>
      <c r="I1">
        <f>SUMIFS(BASE_DADOS!$H:$H, BASE_DADOS!$B:$B, H1, BASE_DADOS!$I:$I, DASHBOARD!$H$2, BASE_DADOS!$J:$J, DASHBOARD!$J$2, BASE_DADOS!$G:$G, "5. Venda Fechada")</f>
        <v>450000</v>
      </c>
      <c r="J1" s="73">
        <f>IFERROR(I1/INDICADORES!$B$7,0)</f>
        <v>0.14586709886547811</v>
      </c>
      <c r="K1" s="25" t="s">
        <v>13</v>
      </c>
      <c r="L1" t="s">
        <v>50</v>
      </c>
    </row>
    <row r="2" spans="1:22">
      <c r="H2" t="str">
        <v>Edifício Apex Tower</v>
      </c>
      <c r="I2">
        <f>SUMIFS(BASE_DADOS!$H:$H, BASE_DADOS!$B:$B, H2, BASE_DADOS!$I:$I, DASHBOARD!$H$2, BASE_DADOS!$J:$J, DASHBOARD!$J$2, BASE_DADOS!$G:$G, "5. Venda Fechada")</f>
        <v>0</v>
      </c>
      <c r="J2" s="73">
        <f>IFERROR(I2/INDICADORES!$B$7,0)</f>
        <v>0</v>
      </c>
    </row>
    <row r="3" spans="1:22" ht="19">
      <c r="A3" s="25" t="s">
        <v>99</v>
      </c>
      <c r="B3" t="s">
        <v>101</v>
      </c>
      <c r="E3" s="25" t="s">
        <v>99</v>
      </c>
      <c r="F3" t="s">
        <v>101</v>
      </c>
      <c r="H3" t="str">
        <v>Condomínio Ville</v>
      </c>
      <c r="I3">
        <f>SUMIFS(BASE_DADOS!$H:$H, BASE_DADOS!$B:$B, H3, BASE_DADOS!$I:$I, DASHBOARD!$H$2, BASE_DADOS!$J:$J, DASHBOARD!$J$2, BASE_DADOS!$G:$G, "5. Venda Fechada")</f>
        <v>0</v>
      </c>
      <c r="J3" s="73">
        <f>IFERROR(I3/INDICADORES!$B$7,0)</f>
        <v>0</v>
      </c>
      <c r="K3" s="25" t="s">
        <v>99</v>
      </c>
      <c r="L3" t="s">
        <v>101</v>
      </c>
      <c r="P3" s="68" t="s">
        <v>110</v>
      </c>
      <c r="Q3" s="69" t="s">
        <v>112</v>
      </c>
      <c r="R3" s="69" t="s">
        <v>113</v>
      </c>
      <c r="S3" s="69" t="s">
        <v>106</v>
      </c>
      <c r="T3" s="43" t="s">
        <v>111</v>
      </c>
    </row>
    <row r="4" spans="1:22">
      <c r="A4" s="26" t="s">
        <v>34</v>
      </c>
      <c r="B4">
        <v>9</v>
      </c>
      <c r="E4" s="26" t="s">
        <v>37</v>
      </c>
      <c r="F4">
        <v>7</v>
      </c>
      <c r="H4" t="str">
        <v>Solar das Palmeiras</v>
      </c>
      <c r="I4">
        <f>SUMIFS(BASE_DADOS!$H:$H, BASE_DADOS!$B:$B, H4, BASE_DADOS!$I:$I, DASHBOARD!$H$2, BASE_DADOS!$J:$J, DASHBOARD!$J$2, BASE_DADOS!$G:$G, "5. Venda Fechada")</f>
        <v>0</v>
      </c>
      <c r="J4" s="73">
        <f>IFERROR(I4/INDICADORES!$B$7,0)</f>
        <v>0</v>
      </c>
      <c r="K4" s="26" t="s">
        <v>45</v>
      </c>
      <c r="L4">
        <v>2</v>
      </c>
      <c r="P4" s="70" t="s">
        <v>36</v>
      </c>
      <c r="Q4" s="71">
        <v>4</v>
      </c>
      <c r="R4" s="72">
        <v>0</v>
      </c>
      <c r="S4" s="71">
        <v>0</v>
      </c>
      <c r="T4" s="44">
        <f>IF(Q4="", "", IFERROR(S4/Q4, 0))</f>
        <v>0</v>
      </c>
      <c r="U4" s="38"/>
      <c r="V4" s="38"/>
    </row>
    <row r="5" spans="1:22">
      <c r="A5" s="26" t="s">
        <v>38</v>
      </c>
      <c r="B5">
        <v>4</v>
      </c>
      <c r="E5" s="26" t="s">
        <v>45</v>
      </c>
      <c r="F5">
        <v>5</v>
      </c>
      <c r="H5" t="str">
        <v>Grand Valley Resort</v>
      </c>
      <c r="I5">
        <f>SUMIFS(BASE_DADOS!$H:$H, BASE_DADOS!$B:$B, H5, BASE_DADOS!$I:$I, DASHBOARD!$H$2, BASE_DADOS!$J:$J, DASHBOARD!$J$2, BASE_DADOS!$G:$G, "5. Venda Fechada")</f>
        <v>2350000</v>
      </c>
      <c r="J5" s="73">
        <f>IFERROR(I5/INDICADORES!$B$7,0)</f>
        <v>0.7617504051863857</v>
      </c>
      <c r="K5" s="26" t="s">
        <v>33</v>
      </c>
      <c r="L5">
        <v>3</v>
      </c>
      <c r="P5" s="70" t="s">
        <v>32</v>
      </c>
      <c r="Q5" s="71">
        <v>5</v>
      </c>
      <c r="R5" s="72">
        <v>890000</v>
      </c>
      <c r="S5" s="71">
        <v>2</v>
      </c>
      <c r="T5" s="44">
        <f t="shared" ref="T5:T10" si="0">IF(Q5="", "", IFERROR(S5/Q5, 0))</f>
        <v>0.4</v>
      </c>
      <c r="U5" s="39"/>
      <c r="V5" s="41"/>
    </row>
    <row r="6" spans="1:22">
      <c r="A6" s="26" t="s">
        <v>42</v>
      </c>
      <c r="B6">
        <v>4</v>
      </c>
      <c r="E6" s="26" t="s">
        <v>33</v>
      </c>
      <c r="F6">
        <v>10</v>
      </c>
      <c r="H6" t="str">
        <v>Horizon City</v>
      </c>
      <c r="I6">
        <f>SUMIFS(BASE_DADOS!$H:$H, BASE_DADOS!$B:$B, H6, BASE_DADOS!$I:$I, DASHBOARD!$H$2, BASE_DADOS!$J:$J, DASHBOARD!$J$2, BASE_DADOS!$G:$G, "5. Venda Fechada")</f>
        <v>0</v>
      </c>
      <c r="J6" s="73">
        <f>IFERROR(I6/INDICADORES!$B$7,0)</f>
        <v>0</v>
      </c>
      <c r="K6" s="26" t="s">
        <v>100</v>
      </c>
      <c r="L6">
        <v>5</v>
      </c>
      <c r="P6" s="70" t="s">
        <v>56</v>
      </c>
      <c r="Q6" s="71">
        <v>3</v>
      </c>
      <c r="R6" s="72">
        <v>285000</v>
      </c>
      <c r="S6" s="71">
        <v>1</v>
      </c>
      <c r="T6" s="44">
        <f t="shared" si="0"/>
        <v>0.33333333333333331</v>
      </c>
      <c r="U6" s="39"/>
      <c r="V6" s="41"/>
    </row>
    <row r="7" spans="1:22">
      <c r="A7" s="26" t="s">
        <v>46</v>
      </c>
      <c r="B7">
        <v>3</v>
      </c>
      <c r="E7" s="26" t="s">
        <v>49</v>
      </c>
      <c r="F7">
        <v>1</v>
      </c>
      <c r="H7" t="str">
        <v>Villa Bella</v>
      </c>
      <c r="I7">
        <f>SUMIFS(BASE_DADOS!$H:$H, BASE_DADOS!$B:$B, H7, BASE_DADOS!$I:$I, DASHBOARD!$H$2, BASE_DADOS!$J:$J, DASHBOARD!$J$2, BASE_DADOS!$G:$G, "5. Venda Fechada")</f>
        <v>285000</v>
      </c>
      <c r="J7" s="73">
        <f>IFERROR(I7/INDICADORES!$B$7,0)</f>
        <v>9.2382495948136148E-2</v>
      </c>
      <c r="N7" s="42"/>
      <c r="P7" s="70" t="s">
        <v>52</v>
      </c>
      <c r="Q7" s="71">
        <v>4</v>
      </c>
      <c r="R7" s="72">
        <v>0</v>
      </c>
      <c r="S7" s="71">
        <v>0</v>
      </c>
      <c r="T7" s="44">
        <f t="shared" si="0"/>
        <v>0</v>
      </c>
      <c r="U7" s="39"/>
      <c r="V7" s="41"/>
    </row>
    <row r="8" spans="1:22">
      <c r="A8" s="26" t="s">
        <v>50</v>
      </c>
      <c r="B8">
        <v>5</v>
      </c>
      <c r="E8" s="26" t="s">
        <v>41</v>
      </c>
      <c r="F8">
        <v>3</v>
      </c>
      <c r="P8" s="70" t="s">
        <v>48</v>
      </c>
      <c r="Q8" s="71">
        <v>4</v>
      </c>
      <c r="R8" s="72">
        <v>2350000</v>
      </c>
      <c r="S8" s="71">
        <v>2</v>
      </c>
      <c r="T8" s="44">
        <f t="shared" si="0"/>
        <v>0.5</v>
      </c>
      <c r="U8" s="39"/>
      <c r="V8" s="41"/>
    </row>
    <row r="9" spans="1:22">
      <c r="A9" s="26" t="s">
        <v>54</v>
      </c>
      <c r="B9">
        <v>3</v>
      </c>
      <c r="E9" s="26" t="s">
        <v>53</v>
      </c>
      <c r="F9">
        <v>2</v>
      </c>
      <c r="P9" s="70" t="s">
        <v>44</v>
      </c>
      <c r="Q9" s="71">
        <v>4</v>
      </c>
      <c r="R9" s="72">
        <v>0</v>
      </c>
      <c r="S9" s="71">
        <v>0</v>
      </c>
      <c r="T9" s="44">
        <f t="shared" si="0"/>
        <v>0</v>
      </c>
      <c r="U9" s="39"/>
      <c r="V9" s="41"/>
    </row>
    <row r="10" spans="1:22">
      <c r="P10" s="70" t="s">
        <v>40</v>
      </c>
      <c r="Q10" s="71">
        <v>4</v>
      </c>
      <c r="R10" s="72">
        <v>0</v>
      </c>
      <c r="S10" s="71">
        <v>0</v>
      </c>
      <c r="T10" s="44">
        <f t="shared" si="0"/>
        <v>0</v>
      </c>
      <c r="U10" s="39"/>
      <c r="V10" s="41"/>
    </row>
    <row r="11" spans="1:22">
      <c r="R11"/>
      <c r="T11" s="40"/>
      <c r="U11" s="39"/>
      <c r="V11" s="38"/>
    </row>
    <row r="12" spans="1:22">
      <c r="R12"/>
    </row>
    <row r="13" spans="1:22">
      <c r="A13" s="26"/>
      <c r="R13"/>
    </row>
    <row r="14" spans="1:22">
      <c r="A14" s="26"/>
      <c r="R14"/>
    </row>
    <row r="15" spans="1:22">
      <c r="A15" s="26"/>
      <c r="R15"/>
    </row>
    <row r="16" spans="1:22">
      <c r="A16" s="26"/>
      <c r="R16"/>
    </row>
    <row r="17" spans="1:20">
      <c r="A17" s="26"/>
      <c r="R17"/>
    </row>
    <row r="18" spans="1:20">
      <c r="A18" s="26"/>
    </row>
    <row r="19" spans="1:20">
      <c r="S19" s="25" t="s">
        <v>13</v>
      </c>
      <c r="T19" t="s">
        <v>42</v>
      </c>
    </row>
    <row r="21" spans="1:20">
      <c r="S21" s="25" t="s">
        <v>99</v>
      </c>
      <c r="T21" t="s">
        <v>119</v>
      </c>
    </row>
    <row r="22" spans="1:20">
      <c r="N22" s="25" t="s">
        <v>115</v>
      </c>
      <c r="O22" t="s">
        <v>109</v>
      </c>
      <c r="S22" s="30">
        <v>46144</v>
      </c>
      <c r="T22">
        <v>1</v>
      </c>
    </row>
    <row r="23" spans="1:20">
      <c r="N23" s="25" t="s">
        <v>114</v>
      </c>
      <c r="O23" t="s">
        <v>109</v>
      </c>
      <c r="S23" s="30">
        <v>46153</v>
      </c>
      <c r="T23">
        <v>1</v>
      </c>
    </row>
    <row r="24" spans="1:20">
      <c r="S24" s="30">
        <v>46164</v>
      </c>
      <c r="T24">
        <v>1</v>
      </c>
    </row>
    <row r="25" spans="1:20">
      <c r="N25" s="25" t="s">
        <v>99</v>
      </c>
      <c r="O25" t="s">
        <v>119</v>
      </c>
      <c r="R25"/>
      <c r="S25" s="30">
        <v>46166</v>
      </c>
      <c r="T25">
        <v>1</v>
      </c>
    </row>
    <row r="26" spans="1:20">
      <c r="N26" s="30">
        <v>46144</v>
      </c>
      <c r="O26">
        <v>4</v>
      </c>
      <c r="R26"/>
      <c r="S26" s="26" t="s">
        <v>100</v>
      </c>
      <c r="T26">
        <v>4</v>
      </c>
    </row>
    <row r="27" spans="1:20">
      <c r="N27" s="30">
        <v>46148</v>
      </c>
      <c r="O27">
        <v>1</v>
      </c>
      <c r="R27"/>
      <c r="T27"/>
    </row>
    <row r="28" spans="1:20">
      <c r="N28" s="30">
        <v>46149</v>
      </c>
      <c r="O28">
        <v>1</v>
      </c>
      <c r="R28"/>
      <c r="T28"/>
    </row>
    <row r="29" spans="1:20">
      <c r="N29" s="30">
        <v>46150</v>
      </c>
      <c r="O29">
        <v>1</v>
      </c>
      <c r="R29"/>
      <c r="T29"/>
    </row>
    <row r="30" spans="1:20">
      <c r="N30" s="30">
        <v>46151</v>
      </c>
      <c r="O30">
        <v>1</v>
      </c>
      <c r="R30"/>
      <c r="T30"/>
    </row>
    <row r="31" spans="1:20">
      <c r="N31" s="30">
        <v>46152</v>
      </c>
      <c r="O31">
        <v>1</v>
      </c>
      <c r="R31"/>
      <c r="T31"/>
    </row>
    <row r="32" spans="1:20">
      <c r="A32" s="25" t="s">
        <v>21</v>
      </c>
      <c r="B32" t="s">
        <v>108</v>
      </c>
      <c r="N32" s="30">
        <v>46153</v>
      </c>
      <c r="O32">
        <v>1</v>
      </c>
      <c r="R32"/>
      <c r="T32"/>
    </row>
    <row r="33" spans="1:20">
      <c r="A33" s="25" t="s">
        <v>22</v>
      </c>
      <c r="B33" t="s">
        <v>109</v>
      </c>
      <c r="N33" s="30">
        <v>46154</v>
      </c>
      <c r="O33">
        <v>1</v>
      </c>
      <c r="R33"/>
      <c r="T33"/>
    </row>
    <row r="34" spans="1:20">
      <c r="N34" s="30">
        <v>46155</v>
      </c>
      <c r="O34">
        <v>1</v>
      </c>
      <c r="R34"/>
      <c r="T34"/>
    </row>
    <row r="35" spans="1:20">
      <c r="A35" s="25" t="s">
        <v>99</v>
      </c>
      <c r="N35" s="30">
        <v>46164</v>
      </c>
      <c r="O35">
        <v>9</v>
      </c>
      <c r="R35"/>
      <c r="T35"/>
    </row>
    <row r="36" spans="1:20">
      <c r="A36" s="26" t="s">
        <v>90</v>
      </c>
      <c r="N36" s="30">
        <v>46165</v>
      </c>
      <c r="O36">
        <v>1</v>
      </c>
      <c r="R36"/>
      <c r="T36"/>
    </row>
    <row r="37" spans="1:20">
      <c r="A37" s="26" t="s">
        <v>76</v>
      </c>
      <c r="N37" s="30">
        <v>46166</v>
      </c>
      <c r="O37">
        <v>3</v>
      </c>
      <c r="R37"/>
      <c r="T37"/>
    </row>
    <row r="38" spans="1:20">
      <c r="A38" s="26" t="s">
        <v>65</v>
      </c>
      <c r="N38" s="30">
        <v>46169</v>
      </c>
      <c r="O38">
        <v>1</v>
      </c>
      <c r="R38"/>
      <c r="T38"/>
    </row>
    <row r="39" spans="1:20">
      <c r="A39" s="26" t="s">
        <v>81</v>
      </c>
      <c r="N39" s="30">
        <v>46201</v>
      </c>
      <c r="O39">
        <v>1</v>
      </c>
      <c r="R39"/>
    </row>
    <row r="40" spans="1:20">
      <c r="A40" s="26" t="s">
        <v>83</v>
      </c>
      <c r="N40" s="26" t="s">
        <v>100</v>
      </c>
      <c r="O40">
        <v>27</v>
      </c>
      <c r="P40" t="s">
        <v>120</v>
      </c>
      <c r="Q40" t="s">
        <v>121</v>
      </c>
      <c r="R40" t="s">
        <v>122</v>
      </c>
    </row>
    <row r="41" spans="1:20">
      <c r="A41" s="26" t="s">
        <v>72</v>
      </c>
      <c r="P41">
        <v>1</v>
      </c>
      <c r="Q41">
        <f>COUNTIFS(BASE_DADOS!$A:$A, DATE(DASHBOARD!$J$2, MATCH(DASHBOARD!$H$2, {"Janeiro","Fevereiro","Março","Abril","Maio","Junho","Julho","Agosto","Setembro","Outubro","Novembro","Dezembro"}, 0), M22))</f>
        <v>0</v>
      </c>
      <c r="R41"/>
    </row>
    <row r="42" spans="1:20">
      <c r="A42" s="26" t="s">
        <v>88</v>
      </c>
      <c r="P42">
        <v>2</v>
      </c>
      <c r="Q42">
        <f>COUNTIFS(BASE_DADOS!$A:$A, DATE(DASHBOARD!$J$2, MATCH(DASHBOARD!$H$2, {"Janeiro","Fevereiro","Março","Abril","Maio","Junho","Julho","Agosto","Setembro","Outubro","Novembro","Dezembro"}, 0), M23))</f>
        <v>0</v>
      </c>
      <c r="R42"/>
    </row>
    <row r="43" spans="1:20">
      <c r="A43" s="26" t="s">
        <v>80</v>
      </c>
      <c r="P43">
        <v>3</v>
      </c>
      <c r="Q43">
        <f>COUNTIFS(BASE_DADOS!$A:$A, DATE(DASHBOARD!$J$2, MATCH(DASHBOARD!$H$2, {"Janeiro","Fevereiro","Março","Abril","Maio","Junho","Julho","Agosto","Setembro","Outubro","Novembro","Dezembro"}, 0), M24))</f>
        <v>0</v>
      </c>
    </row>
    <row r="44" spans="1:20">
      <c r="A44" s="26" t="s">
        <v>85</v>
      </c>
      <c r="P44">
        <v>4</v>
      </c>
      <c r="Q44">
        <f>COUNTIFS(BASE_DADOS!$A:$A, DATE(DASHBOARD!$J$2, MATCH(DASHBOARD!$H$2, {"Janeiro","Fevereiro","Março","Abril","Maio","Junho","Julho","Agosto","Setembro","Outubro","Novembro","Dezembro"}, 0), M25))</f>
        <v>0</v>
      </c>
    </row>
    <row r="45" spans="1:20">
      <c r="A45" s="26" t="s">
        <v>75</v>
      </c>
      <c r="P45">
        <v>5</v>
      </c>
      <c r="Q45">
        <f>COUNTIFS(BASE_DADOS!$A:$A, DATE(DASHBOARD!$J$2, MATCH(DASHBOARD!$H$2, {"Janeiro","Fevereiro","Março","Abril","Maio","Junho","Julho","Agosto","Setembro","Outubro","Novembro","Dezembro"}, 0), M26))</f>
        <v>0</v>
      </c>
    </row>
    <row r="46" spans="1:20">
      <c r="A46" s="26" t="s">
        <v>67</v>
      </c>
      <c r="P46">
        <v>6</v>
      </c>
      <c r="Q46">
        <f>COUNTIFS(BASE_DADOS!$A:$A, DATE(DASHBOARD!$J$2, MATCH(DASHBOARD!$H$2, {"Janeiro","Fevereiro","Março","Abril","Maio","Junho","Julho","Agosto","Setembro","Outubro","Novembro","Dezembro"}, 0), M27))</f>
        <v>0</v>
      </c>
    </row>
    <row r="47" spans="1:20">
      <c r="A47" s="26" t="s">
        <v>89</v>
      </c>
      <c r="P47">
        <v>7</v>
      </c>
      <c r="Q47">
        <f>COUNTIFS(BASE_DADOS!$A:$A, DATE(DASHBOARD!$J$2, MATCH(DASHBOARD!$H$2, {"Janeiro","Fevereiro","Março","Abril","Maio","Junho","Julho","Agosto","Setembro","Outubro","Novembro","Dezembro"}, 0), M28))</f>
        <v>0</v>
      </c>
    </row>
    <row r="48" spans="1:20">
      <c r="A48" s="26" t="s">
        <v>87</v>
      </c>
      <c r="P48">
        <v>8</v>
      </c>
      <c r="Q48">
        <f>COUNTIFS(BASE_DADOS!$A:$A, DATE(DASHBOARD!$J$2, MATCH(DASHBOARD!$H$2, {"Janeiro","Fevereiro","Março","Abril","Maio","Junho","Julho","Agosto","Setembro","Outubro","Novembro","Dezembro"}, 0), M29))</f>
        <v>0</v>
      </c>
    </row>
    <row r="49" spans="1:17">
      <c r="A49" s="26" t="s">
        <v>79</v>
      </c>
      <c r="P49">
        <v>9</v>
      </c>
      <c r="Q49">
        <f>COUNTIFS(BASE_DADOS!$A:$A, DATE(DASHBOARD!$J$2, MATCH(DASHBOARD!$H$2, {"Janeiro","Fevereiro","Março","Abril","Maio","Junho","Julho","Agosto","Setembro","Outubro","Novembro","Dezembro"}, 0), M30))</f>
        <v>0</v>
      </c>
    </row>
    <row r="50" spans="1:17">
      <c r="A50" s="26" t="s">
        <v>91</v>
      </c>
      <c r="P50">
        <v>10</v>
      </c>
      <c r="Q50">
        <f>COUNTIFS(BASE_DADOS!$A:$A, DATE(DASHBOARD!$J$2, MATCH(DASHBOARD!$H$2, {"Janeiro","Fevereiro","Março","Abril","Maio","Junho","Julho","Agosto","Setembro","Outubro","Novembro","Dezembro"}, 0), M31))</f>
        <v>0</v>
      </c>
    </row>
    <row r="51" spans="1:17">
      <c r="A51" s="26" t="s">
        <v>86</v>
      </c>
      <c r="P51">
        <v>11</v>
      </c>
      <c r="Q51">
        <f>COUNTIFS(BASE_DADOS!$A:$A, DATE(DASHBOARD!$J$2, MATCH(DASHBOARD!$H$2, {"Janeiro","Fevereiro","Março","Abril","Maio","Junho","Julho","Agosto","Setembro","Outubro","Novembro","Dezembro"}, 0), M32))</f>
        <v>0</v>
      </c>
    </row>
    <row r="52" spans="1:17">
      <c r="A52" s="26" t="s">
        <v>63</v>
      </c>
      <c r="P52">
        <v>12</v>
      </c>
      <c r="Q52">
        <f>COUNTIFS(BASE_DADOS!$A:$A, DATE(DASHBOARD!$J$2, MATCH(DASHBOARD!$H$2, {"Janeiro","Fevereiro","Março","Abril","Maio","Junho","Julho","Agosto","Setembro","Outubro","Novembro","Dezembro"}, 0), M33))</f>
        <v>0</v>
      </c>
    </row>
    <row r="53" spans="1:17">
      <c r="A53" s="26" t="s">
        <v>74</v>
      </c>
      <c r="P53">
        <v>13</v>
      </c>
      <c r="Q53">
        <f>COUNTIFS(BASE_DADOS!$A:$A, DATE(DASHBOARD!$J$2, MATCH(DASHBOARD!$H$2, {"Janeiro","Fevereiro","Março","Abril","Maio","Junho","Julho","Agosto","Setembro","Outubro","Novembro","Dezembro"}, 0), M34))</f>
        <v>0</v>
      </c>
    </row>
    <row r="54" spans="1:17">
      <c r="A54" s="26" t="s">
        <v>60</v>
      </c>
      <c r="P54">
        <v>14</v>
      </c>
      <c r="Q54">
        <f>COUNTIFS(BASE_DADOS!$A:$A, DATE(DASHBOARD!$J$2, MATCH(DASHBOARD!$H$2, {"Janeiro","Fevereiro","Março","Abril","Maio","Junho","Julho","Agosto","Setembro","Outubro","Novembro","Dezembro"}, 0), M35))</f>
        <v>0</v>
      </c>
    </row>
    <row r="55" spans="1:17">
      <c r="A55" s="26" t="s">
        <v>92</v>
      </c>
      <c r="P55">
        <v>15</v>
      </c>
      <c r="Q55">
        <f>COUNTIFS(BASE_DADOS!$A:$A, DATE(DASHBOARD!$J$2, MATCH(DASHBOARD!$H$2, {"Janeiro","Fevereiro","Março","Abril","Maio","Junho","Julho","Agosto","Setembro","Outubro","Novembro","Dezembro"}, 0), M36))</f>
        <v>0</v>
      </c>
    </row>
    <row r="56" spans="1:17">
      <c r="A56" s="26" t="s">
        <v>69</v>
      </c>
      <c r="P56">
        <v>16</v>
      </c>
      <c r="Q56">
        <f>COUNTIFS(BASE_DADOS!$A:$A, DATE(DASHBOARD!$J$2, MATCH(DASHBOARD!$H$2, {"Janeiro","Fevereiro","Março","Abril","Maio","Junho","Julho","Agosto","Setembro","Outubro","Novembro","Dezembro"}, 0), M37))</f>
        <v>0</v>
      </c>
    </row>
    <row r="57" spans="1:17">
      <c r="A57" s="26" t="s">
        <v>82</v>
      </c>
      <c r="P57">
        <v>17</v>
      </c>
      <c r="Q57">
        <f>COUNTIFS(BASE_DADOS!$A:$A, DATE(DASHBOARD!$J$2, MATCH(DASHBOARD!$H$2, {"Janeiro","Fevereiro","Março","Abril","Maio","Junho","Julho","Agosto","Setembro","Outubro","Novembro","Dezembro"}, 0), M38))</f>
        <v>0</v>
      </c>
    </row>
    <row r="58" spans="1:17">
      <c r="A58" s="26" t="s">
        <v>70</v>
      </c>
      <c r="P58">
        <v>18</v>
      </c>
      <c r="Q58">
        <f>COUNTIFS(BASE_DADOS!$A:$A, DATE(DASHBOARD!$J$2, MATCH(DASHBOARD!$H$2, {"Janeiro","Fevereiro","Março","Abril","Maio","Junho","Julho","Agosto","Setembro","Outubro","Novembro","Dezembro"}, 0), M39))</f>
        <v>0</v>
      </c>
    </row>
    <row r="59" spans="1:17">
      <c r="A59" s="26" t="s">
        <v>84</v>
      </c>
      <c r="P59">
        <v>19</v>
      </c>
      <c r="Q59">
        <f>COUNTIFS(BASE_DADOS!$A:$A, DATE(DASHBOARD!$J$2, MATCH(DASHBOARD!$H$2, {"Janeiro","Fevereiro","Março","Abril","Maio","Junho","Julho","Agosto","Setembro","Outubro","Novembro","Dezembro"}, 0), M40))</f>
        <v>0</v>
      </c>
    </row>
    <row r="60" spans="1:17">
      <c r="A60" s="26" t="s">
        <v>78</v>
      </c>
      <c r="P60">
        <v>20</v>
      </c>
      <c r="Q60">
        <f>COUNTIFS(BASE_DADOS!$A:$A, DATE(DASHBOARD!$J$2, MATCH(DASHBOARD!$H$2, {"Janeiro","Fevereiro","Março","Abril","Maio","Junho","Julho","Agosto","Setembro","Outubro","Novembro","Dezembro"}, 0), M41))</f>
        <v>0</v>
      </c>
    </row>
    <row r="61" spans="1:17">
      <c r="A61" s="26" t="s">
        <v>77</v>
      </c>
      <c r="P61">
        <v>21</v>
      </c>
      <c r="Q61">
        <f>COUNTIFS(BASE_DADOS!$A:$A, DATE(DASHBOARD!$J$2, MATCH(DASHBOARD!$H$2, {"Janeiro","Fevereiro","Março","Abril","Maio","Junho","Julho","Agosto","Setembro","Outubro","Novembro","Dezembro"}, 0), M42))</f>
        <v>0</v>
      </c>
    </row>
    <row r="62" spans="1:17">
      <c r="A62" s="26" t="s">
        <v>100</v>
      </c>
      <c r="P62">
        <v>22</v>
      </c>
      <c r="Q62">
        <f>COUNTIFS(BASE_DADOS!$A:$A, DATE(DASHBOARD!$J$2, MATCH(DASHBOARD!$H$2, {"Janeiro","Fevereiro","Março","Abril","Maio","Junho","Julho","Agosto","Setembro","Outubro","Novembro","Dezembro"}, 0), M43))</f>
        <v>0</v>
      </c>
    </row>
    <row r="63" spans="1:17">
      <c r="P63">
        <v>23</v>
      </c>
      <c r="Q63">
        <f>COUNTIFS(BASE_DADOS!$A:$A, DATE(DASHBOARD!$J$2, MATCH(DASHBOARD!$H$2, {"Janeiro","Fevereiro","Março","Abril","Maio","Junho","Julho","Agosto","Setembro","Outubro","Novembro","Dezembro"}, 0), M44))</f>
        <v>0</v>
      </c>
    </row>
    <row r="64" spans="1:17">
      <c r="P64">
        <v>24</v>
      </c>
      <c r="Q64">
        <f>COUNTIFS(BASE_DADOS!$A:$A, DATE(DASHBOARD!$J$2, MATCH(DASHBOARD!$H$2, {"Janeiro","Fevereiro","Março","Abril","Maio","Junho","Julho","Agosto","Setembro","Outubro","Novembro","Dezembro"}, 0), M45))</f>
        <v>0</v>
      </c>
    </row>
    <row r="65" spans="1:17">
      <c r="P65">
        <v>25</v>
      </c>
      <c r="Q65">
        <f>COUNTIFS(BASE_DADOS!$A:$A, DATE(DASHBOARD!$J$2, MATCH(DASHBOARD!$H$2, {"Janeiro","Fevereiro","Março","Abril","Maio","Junho","Julho","Agosto","Setembro","Outubro","Novembro","Dezembro"}, 0), M46))</f>
        <v>0</v>
      </c>
    </row>
    <row r="66" spans="1:17" ht="23">
      <c r="A66" s="48" t="s">
        <v>110</v>
      </c>
      <c r="B66" s="62" t="s">
        <v>112</v>
      </c>
      <c r="C66" s="66" t="s">
        <v>125</v>
      </c>
      <c r="D66" s="62" t="s">
        <v>106</v>
      </c>
      <c r="E66" s="62" t="s">
        <v>111</v>
      </c>
      <c r="P66">
        <v>26</v>
      </c>
      <c r="Q66">
        <f>COUNTIFS(BASE_DADOS!$A:$A, DATE(DASHBOARD!$J$2, MATCH(DASHBOARD!$H$2, {"Janeiro","Fevereiro","Março","Abril","Maio","Junho","Julho","Agosto","Setembro","Outubro","Novembro","Dezembro"}, 0), M47))</f>
        <v>0</v>
      </c>
    </row>
    <row r="67" spans="1:17" ht="19">
      <c r="A67" s="46" t="str" cm="1">
        <f t="array" ref="A67:A73">CADASTRO!B3:B9</f>
        <v>Carlos Silva</v>
      </c>
      <c r="B67" s="24">
        <f>COUNTIFS(BASE_DADOS!$D:$D, A67, BASE_DADOS!$I:$I, DASHBOARD!$H$2, BASE_DADOS!$J:$J, DASHBOARD!$J$2)</f>
        <v>4</v>
      </c>
      <c r="C67" s="67">
        <f>SUMIFS(BASE_DADOS!$H:$H, BASE_DADOS!$D:$D, A67, BASE_DADOS!$I:$I, DASHBOARD!$H$2, BASE_DADOS!$J:$J, DASHBOARD!$J$2, BASE_DADOS!$G:$G, "5. Venda Fechada")</f>
        <v>450000</v>
      </c>
      <c r="D67" s="24">
        <f>COUNTIFS(BASE_DADOS!$D:$D,A67,BASE_DADOS!$I:$I,DASHBOARD!$H$2,BASE_DADOS!$J:$J,DASHBOARD!$J$2,BASE_DADOS!$G:$G,"5. Venda Fechada")</f>
        <v>1</v>
      </c>
      <c r="E67" s="61">
        <f>IFERROR(D67/B67,0)</f>
        <v>0.25</v>
      </c>
      <c r="P67">
        <v>27</v>
      </c>
      <c r="Q67">
        <f>COUNTIFS(BASE_DADOS!$A:$A, DATE(DASHBOARD!$J$2, MATCH(DASHBOARD!$H$2, {"Janeiro","Fevereiro","Março","Abril","Maio","Junho","Julho","Agosto","Setembro","Outubro","Novembro","Dezembro"}, 0), M48))</f>
        <v>0</v>
      </c>
    </row>
    <row r="68" spans="1:17" ht="19">
      <c r="A68" s="46" t="str">
        <v>Ana Souza</v>
      </c>
      <c r="B68" s="24">
        <f>COUNTIFS(BASE_DADOS!$D:$D, A68, BASE_DADOS!$I:$I, DASHBOARD!$H$2, BASE_DADOS!$J:$J, DASHBOARD!$J$2)</f>
        <v>4</v>
      </c>
      <c r="C68" s="67">
        <f>SUMIFS(BASE_DADOS!$H:$H, BASE_DADOS!$D:$D, A68, BASE_DADOS!$I:$I, DASHBOARD!$H$2, BASE_DADOS!$J:$J, DASHBOARD!$J$2, BASE_DADOS!$G:$G, "5. Venda Fechada")</f>
        <v>0</v>
      </c>
      <c r="D68" s="24">
        <f>COUNTIFS(BASE_DADOS!$D:$D,A68,BASE_DADOS!$I:$I,DASHBOARD!$H$2,BASE_DADOS!$J:$J,DASHBOARD!$J$2,BASE_DADOS!$G:$G,"5. Venda Fechada")</f>
        <v>0</v>
      </c>
      <c r="E68" s="61">
        <f t="shared" ref="E68:E73" si="1">IFERROR(D68/B68,0)</f>
        <v>0</v>
      </c>
      <c r="P68">
        <v>28</v>
      </c>
      <c r="Q68">
        <f>COUNTIFS(BASE_DADOS!$A:$A, DATE(DASHBOARD!$J$2, MATCH(DASHBOARD!$H$2, {"Janeiro","Fevereiro","Março","Abril","Maio","Junho","Julho","Agosto","Setembro","Outubro","Novembro","Dezembro"}, 0), M49))</f>
        <v>0</v>
      </c>
    </row>
    <row r="69" spans="1:17" ht="19">
      <c r="A69" s="46" t="str">
        <v>Roberto Lima</v>
      </c>
      <c r="B69" s="24">
        <f>COUNTIFS(BASE_DADOS!$D:$D, A69, BASE_DADOS!$I:$I, DASHBOARD!$H$2, BASE_DADOS!$J:$J, DASHBOARD!$J$2)</f>
        <v>4</v>
      </c>
      <c r="C69" s="67">
        <f>SUMIFS(BASE_DADOS!$H:$H, BASE_DADOS!$D:$D, A69, BASE_DADOS!$I:$I, DASHBOARD!$H$2, BASE_DADOS!$J:$J, DASHBOARD!$J$2, BASE_DADOS!$G:$G, "5. Venda Fechada")</f>
        <v>0</v>
      </c>
      <c r="D69" s="24">
        <f>COUNTIFS(BASE_DADOS!$D:$D,A69,BASE_DADOS!$I:$I,DASHBOARD!$H$2,BASE_DADOS!$J:$J,DASHBOARD!$J$2,BASE_DADOS!$G:$G,"5. Venda Fechada")</f>
        <v>0</v>
      </c>
      <c r="E69" s="61">
        <f t="shared" si="1"/>
        <v>0</v>
      </c>
      <c r="P69">
        <v>29</v>
      </c>
      <c r="Q69">
        <f>COUNTIFS(BASE_DADOS!$A:$A, DATE(DASHBOARD!$J$2, MATCH(DASHBOARD!$H$2, {"Janeiro","Fevereiro","Março","Abril","Maio","Junho","Julho","Agosto","Setembro","Outubro","Novembro","Dezembro"}, 0), M50))</f>
        <v>0</v>
      </c>
    </row>
    <row r="70" spans="1:17" ht="19">
      <c r="A70" s="46" t="str">
        <v>Mariana Costa</v>
      </c>
      <c r="B70" s="24">
        <f>COUNTIFS(BASE_DADOS!$D:$D, A70, BASE_DADOS!$I:$I, DASHBOARD!$H$2, BASE_DADOS!$J:$J, DASHBOARD!$J$2)</f>
        <v>4</v>
      </c>
      <c r="C70" s="67">
        <f>SUMIFS(BASE_DADOS!$H:$H, BASE_DADOS!$D:$D, A70, BASE_DADOS!$I:$I, DASHBOARD!$H$2, BASE_DADOS!$J:$J, DASHBOARD!$J$2, BASE_DADOS!$G:$G, "5. Venda Fechada")</f>
        <v>0</v>
      </c>
      <c r="D70" s="24">
        <f>COUNTIFS(BASE_DADOS!$D:$D,A70,BASE_DADOS!$I:$I,DASHBOARD!$H$2,BASE_DADOS!$J:$J,DASHBOARD!$J$2,BASE_DADOS!$G:$G,"5. Venda Fechada")</f>
        <v>0</v>
      </c>
      <c r="E70" s="61">
        <f t="shared" si="1"/>
        <v>0</v>
      </c>
      <c r="P70">
        <v>30</v>
      </c>
      <c r="Q70">
        <f>COUNTIFS(BASE_DADOS!$A:$A, DATE(DASHBOARD!$J$2, MATCH(DASHBOARD!$H$2, {"Janeiro","Fevereiro","Março","Abril","Maio","Junho","Julho","Agosto","Setembro","Outubro","Novembro","Dezembro"}, 0), M51))</f>
        <v>0</v>
      </c>
    </row>
    <row r="71" spans="1:17" ht="19">
      <c r="A71" s="46" t="str">
        <v>Lucas Mendes</v>
      </c>
      <c r="B71" s="24">
        <f>COUNTIFS(BASE_DADOS!$D:$D, A71, BASE_DADOS!$I:$I, DASHBOARD!$H$2, BASE_DADOS!$J:$J, DASHBOARD!$J$2)</f>
        <v>4</v>
      </c>
      <c r="C71" s="67">
        <f>SUMIFS(BASE_DADOS!$H:$H, BASE_DADOS!$D:$D, A71, BASE_DADOS!$I:$I, DASHBOARD!$H$2, BASE_DADOS!$J:$J, DASHBOARD!$J$2, BASE_DADOS!$G:$G, "5. Venda Fechada")</f>
        <v>2350000</v>
      </c>
      <c r="D71" s="24">
        <f>COUNTIFS(BASE_DADOS!$D:$D,A71,BASE_DADOS!$I:$I,DASHBOARD!$H$2,BASE_DADOS!$J:$J,DASHBOARD!$J$2,BASE_DADOS!$G:$G,"5. Venda Fechada")</f>
        <v>2</v>
      </c>
      <c r="E71" s="61">
        <f t="shared" si="1"/>
        <v>0.5</v>
      </c>
      <c r="P71">
        <v>31</v>
      </c>
      <c r="Q71">
        <f>COUNTIFS(BASE_DADOS!$A:$A, DATE(DASHBOARD!$J$2, MATCH(DASHBOARD!$H$2, {"Janeiro","Fevereiro","Março","Abril","Maio","Junho","Julho","Agosto","Setembro","Outubro","Novembro","Dezembro"}, 0), M52))</f>
        <v>0</v>
      </c>
    </row>
    <row r="72" spans="1:17" ht="19">
      <c r="A72" s="46" t="str">
        <v>Juliana Paes</v>
      </c>
      <c r="B72" s="24">
        <f>COUNTIFS(BASE_DADOS!$D:$D, A72, BASE_DADOS!$I:$I, DASHBOARD!$H$2, BASE_DADOS!$J:$J, DASHBOARD!$J$2)</f>
        <v>3</v>
      </c>
      <c r="C72" s="67">
        <f>SUMIFS(BASE_DADOS!$H:$H, BASE_DADOS!$D:$D, A72, BASE_DADOS!$I:$I, DASHBOARD!$H$2, BASE_DADOS!$J:$J, DASHBOARD!$J$2, BASE_DADOS!$G:$G, "5. Venda Fechada")</f>
        <v>0</v>
      </c>
      <c r="D72" s="24">
        <f>COUNTIFS(BASE_DADOS!$D:$D,A72,BASE_DADOS!$I:$I,DASHBOARD!$H$2,BASE_DADOS!$J:$J,DASHBOARD!$J$2,BASE_DADOS!$G:$G,"5. Venda Fechada")</f>
        <v>0</v>
      </c>
      <c r="E72" s="61">
        <f t="shared" si="1"/>
        <v>0</v>
      </c>
    </row>
    <row r="73" spans="1:17" ht="19">
      <c r="A73" s="46" t="str">
        <v>Fernando Dias</v>
      </c>
      <c r="B73" s="24">
        <f>COUNTIFS(BASE_DADOS!$D:$D, A73, BASE_DADOS!$I:$I, DASHBOARD!$H$2, BASE_DADOS!$J:$J, DASHBOARD!$J$2)</f>
        <v>3</v>
      </c>
      <c r="C73" s="67">
        <f>SUMIFS(BASE_DADOS!$H:$H, BASE_DADOS!$D:$D, A73, BASE_DADOS!$I:$I, DASHBOARD!$H$2, BASE_DADOS!$J:$J, DASHBOARD!$J$2, BASE_DADOS!$G:$G, "5. Venda Fechada")</f>
        <v>285000</v>
      </c>
      <c r="D73" s="24">
        <f>COUNTIFS(BASE_DADOS!$D:$D,A73,BASE_DADOS!$I:$I,DASHBOARD!$H$2,BASE_DADOS!$J:$J,DASHBOARD!$J$2,BASE_DADOS!$G:$G,"5. Venda Fechada")</f>
        <v>1</v>
      </c>
      <c r="E73" s="61">
        <f t="shared" si="1"/>
        <v>0.33333333333333331</v>
      </c>
    </row>
    <row r="77" spans="1:17">
      <c r="A77" t="str" cm="1">
        <f t="array" ref="A77:A83">CADASTRO!A3:A9</f>
        <v>Residencial Horizons</v>
      </c>
      <c r="B77">
        <f>SUMIFS(BASE_DADOS!$H:$H, BASE_DADOS!$B:$B, A77, BASE_DADOS!$I:$I, DASHBOARD!$H$2, BASE_DADOS!$J:$J, DASHBOARD!$J$2, BASE_DADOS!$G:$G, "5. Venda Fechada")</f>
        <v>450000</v>
      </c>
      <c r="C77" s="73">
        <f>IFERROR(B77/INDICADORES!$B$7,0)</f>
        <v>0.14586709886547811</v>
      </c>
    </row>
    <row r="78" spans="1:17">
      <c r="A78" t="str">
        <v>Edifício Apex Tower</v>
      </c>
      <c r="B78">
        <f>SUMIFS(BASE_DADOS!$H:$H, BASE_DADOS!$B:$B, A78, BASE_DADOS!$I:$I, DASHBOARD!$H$2, BASE_DADOS!$J:$J, DASHBOARD!$J$2, BASE_DADOS!$G:$G, "5. Venda Fechada")</f>
        <v>0</v>
      </c>
      <c r="C78" s="73">
        <f>IFERROR(B78/INDICADORES!$B$7,0)</f>
        <v>0</v>
      </c>
    </row>
    <row r="79" spans="1:17">
      <c r="A79" t="str">
        <v>Condomínio Ville</v>
      </c>
      <c r="B79">
        <f>SUMIFS(BASE_DADOS!$H:$H, BASE_DADOS!$B:$B, A79, BASE_DADOS!$I:$I, DASHBOARD!$H$2, BASE_DADOS!$J:$J, DASHBOARD!$J$2, BASE_DADOS!$G:$G, "5. Venda Fechada")</f>
        <v>0</v>
      </c>
      <c r="C79" s="73">
        <f>IFERROR(B79/INDICADORES!$B$7,0)</f>
        <v>0</v>
      </c>
    </row>
    <row r="80" spans="1:17">
      <c r="A80" t="str">
        <v>Solar das Palmeiras</v>
      </c>
      <c r="B80">
        <f>SUMIFS(BASE_DADOS!$H:$H, BASE_DADOS!$B:$B, A80, BASE_DADOS!$I:$I, DASHBOARD!$H$2, BASE_DADOS!$J:$J, DASHBOARD!$J$2, BASE_DADOS!$G:$G, "5. Venda Fechada")</f>
        <v>0</v>
      </c>
      <c r="C80" s="73">
        <f>IFERROR(B80/INDICADORES!$B$7,0)</f>
        <v>0</v>
      </c>
    </row>
    <row r="81" spans="1:3">
      <c r="A81" t="str">
        <v>Grand Valley Resort</v>
      </c>
      <c r="B81">
        <f>SUMIFS(BASE_DADOS!$H:$H, BASE_DADOS!$B:$B, A81, BASE_DADOS!$I:$I, DASHBOARD!$H$2, BASE_DADOS!$J:$J, DASHBOARD!$J$2, BASE_DADOS!$G:$G, "5. Venda Fechada")</f>
        <v>2350000</v>
      </c>
      <c r="C81" s="73">
        <f>IFERROR(B81/INDICADORES!$B$7,0)</f>
        <v>0.7617504051863857</v>
      </c>
    </row>
    <row r="82" spans="1:3">
      <c r="A82" t="str">
        <v>Horizon City</v>
      </c>
      <c r="B82">
        <f>SUMIFS(BASE_DADOS!$H:$H, BASE_DADOS!$B:$B, A82, BASE_DADOS!$I:$I, DASHBOARD!$H$2, BASE_DADOS!$J:$J, DASHBOARD!$J$2, BASE_DADOS!$G:$G, "5. Venda Fechada")</f>
        <v>0</v>
      </c>
      <c r="C82" s="73">
        <f>IFERROR(B82/INDICADORES!$B$7,0)</f>
        <v>0</v>
      </c>
    </row>
    <row r="83" spans="1:3">
      <c r="A83" t="str">
        <v>Villa Bella</v>
      </c>
      <c r="B83">
        <f>SUMIFS(BASE_DADOS!$H:$H, BASE_DADOS!$B:$B, A83, BASE_DADOS!$I:$I, DASHBOARD!$H$2, BASE_DADOS!$J:$J, DASHBOARD!$J$2, BASE_DADOS!$G:$G, "5. Venda Fechada")</f>
        <v>285000</v>
      </c>
      <c r="C83" s="73">
        <f>IFERROR(B83/INDICADORES!$B$7,0)</f>
        <v>9.2382495948136148E-2</v>
      </c>
    </row>
  </sheetData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A5D2-1D4A-C941-948A-4C012F9179D1}">
  <dimension ref="A1:B28"/>
  <sheetViews>
    <sheetView showGridLines="0" zoomScale="75" workbookViewId="0">
      <selection activeCell="D6" sqref="D6"/>
    </sheetView>
  </sheetViews>
  <sheetFormatPr baseColWidth="10" defaultRowHeight="16"/>
  <cols>
    <col min="1" max="1" width="31.1640625" customWidth="1"/>
    <col min="2" max="2" width="35.33203125" customWidth="1"/>
    <col min="3" max="3" width="14.83203125" bestFit="1" customWidth="1"/>
    <col min="4" max="4" width="15.5" bestFit="1" customWidth="1"/>
  </cols>
  <sheetData>
    <row r="1" spans="1:2" s="7" customFormat="1" ht="34">
      <c r="A1" s="6" t="s">
        <v>26</v>
      </c>
    </row>
    <row r="2" spans="1:2" ht="43" customHeight="1">
      <c r="A2" s="15" t="s">
        <v>24</v>
      </c>
      <c r="B2" s="15" t="s">
        <v>25</v>
      </c>
    </row>
    <row r="3" spans="1:2" ht="32" customHeight="1">
      <c r="A3" s="16" t="s">
        <v>27</v>
      </c>
      <c r="B3" s="54">
        <f>IF(DASHBOARD!H2="Todos", COUNTIF(BASE_DADOS!A:A, "&gt;0"), COUNTIFS(BASE_DADOS!A:A, "&gt;="&amp;DATE(DASHBOARD!J2, MATCH(DASHBOARD!H2, {"Janeiro","Fevereiro","Março","Abril","Maio","Junho","Julho","Agosto","Setembro","Outubro","Novembro","Dezembro"}, 0), 1), BASE_DADOS!A:A, "&lt;="&amp;EOMONTH(DATE(DASHBOARD!J2, MATCH(DASHBOARD!H2, {"Janeiro","Fevereiro","Março","Abril","Maio","Junho","Julho","Agosto","Setembro","Outubro","Novembro","Dezembro"}, 0), 1), 0)))</f>
        <v>26</v>
      </c>
    </row>
    <row r="4" spans="1:2" ht="32" customHeight="1">
      <c r="A4" s="18" t="s">
        <v>28</v>
      </c>
      <c r="B4" s="19">
        <f>IF(DASHBOARD!H2="Todos", COUNTIF(BASE_DADOS!G:G, "*Visita*"), COUNTIFS(BASE_DADOS!G:G, "*Visita*", BASE_DADOS!A:A, "&gt;="&amp;DATE(DASHBOARD!J2, MATCH(DASHBOARD!H2, {"Janeiro","Fevereiro","Março","Abril","Maio","Junho","Julho","Agosto","Setembro","Outubro","Novembro","Dezembro"}, 0), 1), BASE_DADOS!A:A, "&lt;="&amp;EOMONTH(DATE(DASHBOARD!J2, MATCH(DASHBOARD!H2, {"Janeiro","Fevereiro","Março","Abril","Maio","Junho","Julho","Agosto","Setembro","Outubro","Novembro","Dezembro"}, 0), 1), 0)))</f>
        <v>4</v>
      </c>
    </row>
    <row r="5" spans="1:2" ht="32" customHeight="1">
      <c r="A5" s="20" t="s">
        <v>96</v>
      </c>
      <c r="B5" s="17">
        <f>IF(DASHBOARD!H2="Todos", COUNTIF(BASE_DADOS!G:G, "*Proposta*"), COUNTIFS(BASE_DADOS!G:G, "*Proposta*", BASE_DADOS!A:A, "&gt;="&amp;DATE(DASHBOARD!J2, MATCH(DASHBOARD!H2, {"Janeiro","Fevereiro","Março","Abril","Maio","Junho","Julho","Agosto","Setembro","Outubro","Novembro","Dezembro"}, 0), 1), BASE_DADOS!A:A, "&lt;="&amp;EOMONTH(DATE(DASHBOARD!J2, MATCH(DASHBOARD!H2, {"Janeiro","Fevereiro","Março","Abril","Maio","Junho","Julho","Agosto","Setembro","Outubro","Novembro","Dezembro"}, 0), 1), 0)))</f>
        <v>3</v>
      </c>
    </row>
    <row r="6" spans="1:2" ht="32" customHeight="1">
      <c r="A6" s="18" t="s">
        <v>29</v>
      </c>
      <c r="B6" s="19">
        <f>IF(DASHBOARD!H2="Todos", COUNTIF(BASE_DADOS!G:G, "*Venda Fechada*"), COUNTIFS(BASE_DADOS!G:G, "*Venda Fechada*", BASE_DADOS!A:A, "&gt;="&amp;DATE(DASHBOARD!J2, MATCH(DASHBOARD!H2, {"Janeiro","Fevereiro","Março","Abril","Maio","Junho","Julho","Agosto","Setembro","Outubro","Novembro","Dezembro"}, 0), 1), BASE_DADOS!A:A, "&lt;="&amp;EOMONTH(DATE(DASHBOARD!J2, MATCH(DASHBOARD!H2, {"Janeiro","Fevereiro","Março","Abril","Maio","Junho","Julho","Agosto","Setembro","Outubro","Novembro","Dezembro"}, 0), 1), 0)))</f>
        <v>4</v>
      </c>
    </row>
    <row r="7" spans="1:2" ht="32" customHeight="1">
      <c r="A7" s="20" t="s">
        <v>98</v>
      </c>
      <c r="B7" s="21">
        <f>IF(DASHBOARD!H2="Todos", SUM(BASE_DADOS!H:H), SUMIFS(BASE_DADOS!H:H, BASE_DADOS!A:A, "&gt;="&amp;DATE(DASHBOARD!J2, MATCH(LEFT(DASHBOARD!H2, 4), {"Jane","Feve","Març","Abri","Maio","Junh","Julh","Agos","Sete","Outu","Nove","Deze"}, 0), 1), BASE_DADOS!A:A, "&lt;="&amp;EOMONTH(DATE(DASHBOARD!J2, MATCH(LEFT(DASHBOARD!H2, 4), {"Jane","Feve","Març","Abri","Maio","Junh","Julh","Agos","Sete","Outu","Nove","Deze"}, 0), 1), 0)))</f>
        <v>3085000</v>
      </c>
    </row>
    <row r="8" spans="1:2" ht="32" customHeight="1">
      <c r="A8" s="18" t="s">
        <v>30</v>
      </c>
      <c r="B8" s="22">
        <f>IF(B6&gt;0, B7/B6, 0)</f>
        <v>771250</v>
      </c>
    </row>
    <row r="9" spans="1:2" ht="32" customHeight="1">
      <c r="A9" s="20" t="s">
        <v>97</v>
      </c>
      <c r="B9" s="23">
        <f>IF(B3&gt;0, B6/B3, 0)</f>
        <v>0.15384615384615385</v>
      </c>
    </row>
    <row r="12" spans="1:2">
      <c r="A12" s="91" t="str" cm="1">
        <f t="array" ref="A12:A17">CADASTRO!D3:D8</f>
        <v>Lead</v>
      </c>
      <c r="B12" s="92">
        <f>COUNTIFS(BASE_DADOS!I:I, DASHBOARD!$H$2, BASE_DADOS!J:J, DASHBOARD!$J$2, BASE_DADOS!G:G, "*Lead*")</f>
        <v>8</v>
      </c>
    </row>
    <row r="13" spans="1:2">
      <c r="A13" s="91" t="str">
        <v xml:space="preserve"> Contato Feito</v>
      </c>
      <c r="B13" s="92">
        <f>COUNTIFS(BASE_DADOS!I:I, DASHBOARD!$H$2, BASE_DADOS!J:J, DASHBOARD!$J$2, BASE_DADOS!G:G, "*Contato*")</f>
        <v>4</v>
      </c>
    </row>
    <row r="14" spans="1:2">
      <c r="A14" s="91" t="str">
        <v xml:space="preserve"> Visita Agendada</v>
      </c>
      <c r="B14" s="92">
        <f>COUNTIFS(BASE_DADOS!I:I, DASHBOARD!$H$2, BASE_DADOS!J:J, DASHBOARD!$J$2, BASE_DADOS!G:G, "*Visita*")</f>
        <v>4</v>
      </c>
    </row>
    <row r="15" spans="1:2">
      <c r="A15" s="91" t="str">
        <v>Proposta Enviada</v>
      </c>
      <c r="B15" s="92">
        <f>COUNTIFS(BASE_DADOS!I:I, DASHBOARD!$H$2, BASE_DADOS!J:J, DASHBOARD!$J$2, BASE_DADOS!G:G, "*Proposta*")</f>
        <v>3</v>
      </c>
    </row>
    <row r="16" spans="1:2">
      <c r="A16" s="91" t="str">
        <v>Venda Fechada</v>
      </c>
      <c r="B16" s="92">
        <f>COUNTIFS(BASE_DADOS!I:I, DASHBOARD!$H$2, BASE_DADOS!J:J, DASHBOARD!$J$2, BASE_DADOS!G:G, "*Venda Fechada*")</f>
        <v>4</v>
      </c>
    </row>
    <row r="17" spans="1:2">
      <c r="A17" s="91" t="str">
        <v>Perdido</v>
      </c>
      <c r="B17" s="92">
        <f>COUNTIFS(BASE_DADOS!I:I, DASHBOARD!$H$2, BASE_DADOS!J:J, DASHBOARD!$J$2, BASE_DADOS!G:G, "*Perdido*")</f>
        <v>3</v>
      </c>
    </row>
    <row r="19" spans="1:2">
      <c r="A19" s="91" t="str" cm="1">
        <f t="array" ref="A19:A25">CADASTRO!C3:C9</f>
        <v>Meta Ads</v>
      </c>
      <c r="B19" s="92">
        <f>COUNTIFS(BASE_DADOS!I:I, DASHBOARD!$H$2, BASE_DADOS!J:J, DASHBOARD!$J$2, BASE_DADOS!E:E, A19)</f>
        <v>9</v>
      </c>
    </row>
    <row r="20" spans="1:2">
      <c r="A20" s="91" t="str">
        <v>Google Ads</v>
      </c>
      <c r="B20" s="92">
        <f>COUNTIFS(BASE_DADOS!I:I, DASHBOARD!$H$2, BASE_DADOS!J:J, DASHBOARD!$J$2, BASE_DADOS!E:E, A20)</f>
        <v>6</v>
      </c>
    </row>
    <row r="21" spans="1:2">
      <c r="A21" s="91" t="str">
        <v>Portal Imobiliário</v>
      </c>
      <c r="B21" s="92">
        <f>COUNTIFS(BASE_DADOS!I:I, DASHBOARD!$H$2, BASE_DADOS!J:J, DASHBOARD!$J$2, BASE_DADOS!E:E, A21)</f>
        <v>3</v>
      </c>
    </row>
    <row r="22" spans="1:2">
      <c r="A22" s="91" t="str">
        <v>Indicação</v>
      </c>
      <c r="B22" s="92">
        <f>COUNTIFS(BASE_DADOS!I:I, DASHBOARD!$H$2, BASE_DADOS!J:J, DASHBOARD!$J$2, BASE_DADOS!E:E, A22)</f>
        <v>5</v>
      </c>
    </row>
    <row r="23" spans="1:2">
      <c r="A23" s="91" t="str">
        <v>Passante / Placa</v>
      </c>
      <c r="B23" s="92">
        <f>COUNTIFS(BASE_DADOS!I:I, DASHBOARD!$H$2, BASE_DADOS!J:J, DASHBOARD!$J$2, BASE_DADOS!E:E, A23)</f>
        <v>1</v>
      </c>
    </row>
    <row r="24" spans="1:2">
      <c r="A24" s="91" t="str">
        <v>WhatsApp Direct</v>
      </c>
      <c r="B24" s="92">
        <f>COUNTIFS(BASE_DADOS!I:I, DASHBOARD!$H$2, BASE_DADOS!J:J, DASHBOARD!$J$2, BASE_DADOS!E:E, A24)</f>
        <v>2</v>
      </c>
    </row>
    <row r="25" spans="1:2">
      <c r="A25" s="91" t="str">
        <v>Feira Imobiliária</v>
      </c>
      <c r="B25" s="92">
        <f>COUNTIFS(BASE_DADOS!I:I, DASHBOARD!$H$2, BASE_DADOS!J:J, DASHBOARD!$J$2, BASE_DADOS!E:E, A25)</f>
        <v>0</v>
      </c>
    </row>
    <row r="28" spans="1:2">
      <c r="A28" s="91" t="s">
        <v>123</v>
      </c>
      <c r="B28" s="92">
        <f>COUNTIFS(BASE_DADOS!G:G, "&lt;&gt;Venda Fechada", BASE_DADOS!A:A, "&lt;="&amp;DATE(DASHBOARD!$J$2, MATCH(DASHBOARD!$H$2, {"Janeiro","Fevereiro","Março","Abril","Maio","Junho","Julho","Agosto","Setembro","Outubro","Novembro","Dezembro"}, 0), 1)-90)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C0B1-89DB-9B45-A7AC-518DFB81B560}">
  <dimension ref="A1:T103"/>
  <sheetViews>
    <sheetView showGridLines="0" showRowColHeaders="0" tabSelected="1" zoomScale="120" zoomScaleNormal="120" workbookViewId="0">
      <selection activeCell="O23" sqref="O23"/>
    </sheetView>
  </sheetViews>
  <sheetFormatPr baseColWidth="10" defaultRowHeight="16"/>
  <cols>
    <col min="1" max="1" width="4" style="24" customWidth="1"/>
    <col min="2" max="2" width="2.5" style="24" customWidth="1"/>
    <col min="3" max="3" width="31.6640625" style="24" customWidth="1"/>
    <col min="4" max="4" width="15" style="24" customWidth="1"/>
    <col min="5" max="5" width="16.6640625" style="24" customWidth="1"/>
    <col min="6" max="6" width="21.33203125" style="24" customWidth="1"/>
    <col min="7" max="7" width="13.5" style="24" customWidth="1"/>
    <col min="8" max="8" width="19.6640625" style="24" customWidth="1"/>
    <col min="9" max="9" width="4.1640625" style="24" customWidth="1"/>
    <col min="10" max="10" width="22.1640625" style="24" customWidth="1"/>
    <col min="11" max="11" width="56.83203125" style="45" customWidth="1"/>
    <col min="12" max="12" width="32.1640625" style="24" customWidth="1"/>
    <col min="13" max="16384" width="10.83203125" style="24"/>
  </cols>
  <sheetData>
    <row r="1" spans="1:20" ht="22" customHeight="1">
      <c r="A1" s="87"/>
      <c r="B1" s="87"/>
      <c r="C1" s="89" t="s">
        <v>131</v>
      </c>
      <c r="D1" s="89"/>
      <c r="E1" s="88"/>
      <c r="F1" s="88"/>
      <c r="G1" s="53"/>
      <c r="H1" s="90" t="s">
        <v>117</v>
      </c>
      <c r="I1" s="56"/>
      <c r="J1" s="90" t="s">
        <v>22</v>
      </c>
      <c r="K1" s="53"/>
    </row>
    <row r="2" spans="1:20" ht="11" customHeight="1">
      <c r="A2" s="87"/>
      <c r="B2" s="87"/>
      <c r="C2" s="89" t="s">
        <v>130</v>
      </c>
      <c r="D2" s="89"/>
      <c r="E2" s="88"/>
      <c r="F2" s="88"/>
      <c r="G2" s="53"/>
      <c r="H2" s="79" t="s">
        <v>116</v>
      </c>
      <c r="I2" s="53"/>
      <c r="J2" s="79">
        <v>2026</v>
      </c>
      <c r="K2" s="53"/>
    </row>
    <row r="3" spans="1:20" ht="11" customHeight="1">
      <c r="A3" s="87"/>
      <c r="B3" s="87"/>
      <c r="C3" s="89"/>
      <c r="D3" s="89"/>
      <c r="E3" s="88"/>
      <c r="F3" s="88"/>
      <c r="G3" s="53"/>
      <c r="H3" s="79"/>
      <c r="I3" s="53"/>
      <c r="J3" s="79"/>
      <c r="K3" s="53"/>
    </row>
    <row r="4" spans="1:20" ht="5" customHeight="1">
      <c r="A4" s="87"/>
      <c r="B4" s="87"/>
      <c r="C4" s="89"/>
      <c r="D4" s="89"/>
      <c r="E4" s="88"/>
      <c r="F4" s="88"/>
      <c r="G4" s="53"/>
      <c r="H4" s="53"/>
      <c r="I4" s="53"/>
      <c r="J4" s="53"/>
      <c r="K4" s="53"/>
    </row>
    <row r="5" spans="1:20" ht="7" customHeight="1">
      <c r="K5" s="24"/>
    </row>
    <row r="6" spans="1:20" s="60" customFormat="1" ht="17" customHeight="1">
      <c r="C6" s="74" t="s">
        <v>27</v>
      </c>
      <c r="D6" s="74" t="s">
        <v>129</v>
      </c>
      <c r="E6" s="74"/>
      <c r="F6" s="77" t="s">
        <v>29</v>
      </c>
      <c r="G6" s="78" t="s">
        <v>127</v>
      </c>
      <c r="H6" s="78"/>
      <c r="I6" s="78" t="s">
        <v>126</v>
      </c>
      <c r="J6" s="78"/>
      <c r="K6" s="77" t="s">
        <v>128</v>
      </c>
      <c r="L6" s="24"/>
      <c r="M6" s="24"/>
      <c r="N6" s="24"/>
      <c r="O6" s="24"/>
      <c r="P6" s="24"/>
      <c r="Q6" s="24"/>
      <c r="R6" s="24"/>
      <c r="S6" s="24"/>
      <c r="T6" s="24"/>
    </row>
    <row r="7" spans="1:20">
      <c r="K7" s="24"/>
    </row>
    <row r="8" spans="1:20">
      <c r="J8" s="76"/>
      <c r="K8" s="76"/>
    </row>
    <row r="9" spans="1:20">
      <c r="K9" s="24"/>
    </row>
    <row r="10" spans="1:20">
      <c r="K10" s="24"/>
    </row>
    <row r="11" spans="1:20">
      <c r="K11" s="24"/>
    </row>
    <row r="12" spans="1:20">
      <c r="K12" s="24"/>
    </row>
    <row r="13" spans="1:20">
      <c r="K13" s="24"/>
    </row>
    <row r="14" spans="1:20">
      <c r="K14" s="24"/>
    </row>
    <row r="15" spans="1:20">
      <c r="K15" s="24"/>
    </row>
    <row r="16" spans="1:20">
      <c r="K16" s="24"/>
    </row>
    <row r="17" spans="3:11">
      <c r="K17" s="24"/>
    </row>
    <row r="18" spans="3:11">
      <c r="K18" s="24"/>
    </row>
    <row r="19" spans="3:11">
      <c r="K19" s="24"/>
    </row>
    <row r="20" spans="3:11">
      <c r="K20" s="24"/>
    </row>
    <row r="21" spans="3:11">
      <c r="K21" s="24"/>
    </row>
    <row r="22" spans="3:11">
      <c r="K22" s="24"/>
    </row>
    <row r="23" spans="3:11">
      <c r="K23" s="24"/>
    </row>
    <row r="24" spans="3:11">
      <c r="K24" s="24"/>
    </row>
    <row r="25" spans="3:11">
      <c r="K25" s="24"/>
    </row>
    <row r="26" spans="3:11" ht="12" customHeight="1">
      <c r="K26" s="24"/>
    </row>
    <row r="27" spans="3:11" ht="12" customHeight="1">
      <c r="K27" s="24"/>
    </row>
    <row r="28" spans="3:11" hidden="1">
      <c r="K28" s="24"/>
    </row>
    <row r="29" spans="3:11">
      <c r="C29" s="80" t="s">
        <v>110</v>
      </c>
      <c r="D29" s="81" t="s">
        <v>112</v>
      </c>
      <c r="E29" s="82" t="s">
        <v>125</v>
      </c>
      <c r="F29" s="81" t="s">
        <v>106</v>
      </c>
      <c r="G29" s="81" t="s">
        <v>111</v>
      </c>
      <c r="K29" s="24"/>
    </row>
    <row r="30" spans="3:11" ht="21">
      <c r="C30" s="93" t="str" cm="1">
        <f t="array" ref="C30:G36">_xlfn.SORTBY(APOIO!A67:E73,APOIO!E67:E73,-1)</f>
        <v>Lucas Mendes</v>
      </c>
      <c r="D30" s="94">
        <v>4</v>
      </c>
      <c r="E30" s="95">
        <v>2350000</v>
      </c>
      <c r="F30" s="94">
        <v>2</v>
      </c>
      <c r="G30" s="96">
        <v>0.5</v>
      </c>
      <c r="K30" s="24"/>
    </row>
    <row r="31" spans="3:11" ht="21">
      <c r="C31" s="83" t="str">
        <v>Fernando Dias</v>
      </c>
      <c r="D31" s="84">
        <v>3</v>
      </c>
      <c r="E31" s="85">
        <v>285000</v>
      </c>
      <c r="F31" s="84">
        <v>1</v>
      </c>
      <c r="G31" s="86">
        <v>0.33333333333333331</v>
      </c>
      <c r="K31" s="24"/>
    </row>
    <row r="32" spans="3:11" ht="21">
      <c r="C32" s="93" t="str">
        <v>Carlos Silva</v>
      </c>
      <c r="D32" s="94">
        <v>4</v>
      </c>
      <c r="E32" s="95">
        <v>450000</v>
      </c>
      <c r="F32" s="94">
        <v>1</v>
      </c>
      <c r="G32" s="96">
        <v>0.25</v>
      </c>
      <c r="K32" s="24"/>
    </row>
    <row r="33" spans="3:11" ht="21">
      <c r="C33" s="83" t="str">
        <v>Ana Souza</v>
      </c>
      <c r="D33" s="84">
        <v>4</v>
      </c>
      <c r="E33" s="85">
        <v>0</v>
      </c>
      <c r="F33" s="84">
        <v>0</v>
      </c>
      <c r="G33" s="86">
        <v>0</v>
      </c>
      <c r="J33" s="45"/>
      <c r="K33" s="50"/>
    </row>
    <row r="34" spans="3:11" ht="21">
      <c r="C34" s="93" t="str">
        <v>Roberto Lima</v>
      </c>
      <c r="D34" s="94">
        <v>4</v>
      </c>
      <c r="E34" s="95">
        <v>0</v>
      </c>
      <c r="F34" s="94">
        <v>0</v>
      </c>
      <c r="G34" s="96">
        <v>0</v>
      </c>
      <c r="I34" s="52"/>
      <c r="J34" s="47"/>
      <c r="K34" s="51"/>
    </row>
    <row r="35" spans="3:11" ht="21">
      <c r="C35" s="83" t="str">
        <v>Mariana Costa</v>
      </c>
      <c r="D35" s="84">
        <v>4</v>
      </c>
      <c r="E35" s="85">
        <v>0</v>
      </c>
      <c r="F35" s="84">
        <v>0</v>
      </c>
      <c r="G35" s="86">
        <v>0</v>
      </c>
      <c r="I35" s="52"/>
      <c r="J35" s="47"/>
      <c r="K35" s="51"/>
    </row>
    <row r="36" spans="3:11" ht="21">
      <c r="C36" s="93" t="str">
        <v>Juliana Paes</v>
      </c>
      <c r="D36" s="94">
        <v>3</v>
      </c>
      <c r="E36" s="95">
        <v>0</v>
      </c>
      <c r="F36" s="94">
        <v>0</v>
      </c>
      <c r="G36" s="96">
        <v>0</v>
      </c>
      <c r="I36" s="52"/>
      <c r="J36" s="47"/>
      <c r="K36" s="51"/>
    </row>
    <row r="37" spans="3:11" ht="19">
      <c r="C37" s="46"/>
      <c r="D37" s="47"/>
      <c r="E37" s="47"/>
      <c r="F37" s="47"/>
      <c r="G37" s="49"/>
      <c r="J37" s="45"/>
      <c r="K37" s="50"/>
    </row>
    <row r="38" spans="3:11" ht="19">
      <c r="C38" s="46"/>
      <c r="D38" s="63"/>
      <c r="E38" s="63"/>
      <c r="F38" s="63"/>
      <c r="G38" s="64"/>
      <c r="J38" s="45"/>
      <c r="K38" s="50"/>
    </row>
    <row r="39" spans="3:11" ht="19">
      <c r="C39" s="46"/>
      <c r="D39" s="63"/>
      <c r="E39" s="63"/>
      <c r="F39" s="63"/>
      <c r="G39" s="64"/>
      <c r="J39" s="45"/>
      <c r="K39" s="50"/>
    </row>
    <row r="40" spans="3:11" ht="19">
      <c r="C40" s="46"/>
      <c r="D40" s="63"/>
      <c r="E40" s="63"/>
      <c r="F40" s="63"/>
      <c r="G40" s="64"/>
      <c r="J40" s="45"/>
      <c r="K40" s="50"/>
    </row>
    <row r="41" spans="3:11">
      <c r="D41" s="65"/>
      <c r="E41" s="65"/>
      <c r="F41" s="65"/>
      <c r="G41" s="65"/>
      <c r="J41" s="45"/>
      <c r="K41" s="50"/>
    </row>
    <row r="42" spans="3:11">
      <c r="D42" s="65"/>
      <c r="E42" s="65"/>
      <c r="F42" s="65"/>
      <c r="G42" s="65"/>
      <c r="J42" s="45"/>
      <c r="K42" s="50"/>
    </row>
    <row r="43" spans="3:11">
      <c r="D43" s="65"/>
      <c r="E43" s="65"/>
      <c r="F43" s="65"/>
      <c r="G43" s="65"/>
      <c r="J43" s="45"/>
      <c r="K43" s="50"/>
    </row>
    <row r="44" spans="3:11">
      <c r="D44" s="65"/>
      <c r="E44" s="65"/>
      <c r="F44" s="65"/>
      <c r="G44" s="65"/>
      <c r="J44" s="45"/>
      <c r="K44" s="50"/>
    </row>
    <row r="45" spans="3:11">
      <c r="J45" s="45"/>
      <c r="K45" s="50"/>
    </row>
    <row r="46" spans="3:11">
      <c r="J46" s="45"/>
      <c r="K46" s="50"/>
    </row>
    <row r="47" spans="3:11">
      <c r="J47" s="45"/>
      <c r="K47" s="50"/>
    </row>
    <row r="48" spans="3:11">
      <c r="J48" s="45"/>
      <c r="K48" s="50"/>
    </row>
    <row r="49" spans="10:11">
      <c r="J49" s="45"/>
      <c r="K49" s="50"/>
    </row>
    <row r="50" spans="10:11">
      <c r="J50" s="45"/>
      <c r="K50" s="50"/>
    </row>
    <row r="51" spans="10:11">
      <c r="K51" s="50"/>
    </row>
    <row r="52" spans="10:11">
      <c r="K52" s="50"/>
    </row>
    <row r="53" spans="10:11">
      <c r="K53" s="50"/>
    </row>
    <row r="54" spans="10:11">
      <c r="K54" s="50"/>
    </row>
    <row r="55" spans="10:11">
      <c r="K55" s="50"/>
    </row>
    <row r="56" spans="10:11">
      <c r="K56" s="50"/>
    </row>
    <row r="57" spans="10:11">
      <c r="K57" s="50"/>
    </row>
    <row r="58" spans="10:11">
      <c r="K58" s="50"/>
    </row>
    <row r="59" spans="10:11">
      <c r="K59" s="50"/>
    </row>
    <row r="60" spans="10:11">
      <c r="K60" s="50"/>
    </row>
    <row r="61" spans="10:11">
      <c r="K61" s="50"/>
    </row>
    <row r="62" spans="10:11">
      <c r="K62" s="50"/>
    </row>
    <row r="63" spans="10:11">
      <c r="K63" s="50"/>
    </row>
    <row r="64" spans="10:11">
      <c r="K64" s="50"/>
    </row>
    <row r="65" spans="11:11">
      <c r="K65" s="50"/>
    </row>
    <row r="66" spans="11:11">
      <c r="K66" s="50"/>
    </row>
    <row r="67" spans="11:11">
      <c r="K67" s="50"/>
    </row>
    <row r="68" spans="11:11">
      <c r="K68" s="50"/>
    </row>
    <row r="69" spans="11:11">
      <c r="K69" s="50"/>
    </row>
    <row r="70" spans="11:11">
      <c r="K70" s="50"/>
    </row>
    <row r="71" spans="11:11">
      <c r="K71" s="50"/>
    </row>
    <row r="72" spans="11:11">
      <c r="K72" s="50"/>
    </row>
    <row r="73" spans="11:11">
      <c r="K73" s="50"/>
    </row>
    <row r="74" spans="11:11">
      <c r="K74" s="50"/>
    </row>
    <row r="75" spans="11:11">
      <c r="K75" s="50"/>
    </row>
    <row r="76" spans="11:11">
      <c r="K76" s="50"/>
    </row>
    <row r="77" spans="11:11">
      <c r="K77" s="50"/>
    </row>
    <row r="78" spans="11:11">
      <c r="K78" s="50"/>
    </row>
    <row r="79" spans="11:11">
      <c r="K79" s="50"/>
    </row>
    <row r="80" spans="11:11">
      <c r="K80" s="50"/>
    </row>
    <row r="81" spans="11:11">
      <c r="K81" s="50"/>
    </row>
    <row r="82" spans="11:11">
      <c r="K82" s="50"/>
    </row>
    <row r="83" spans="11:11">
      <c r="K83" s="50"/>
    </row>
    <row r="84" spans="11:11">
      <c r="K84" s="50"/>
    </row>
    <row r="85" spans="11:11">
      <c r="K85" s="50"/>
    </row>
    <row r="86" spans="11:11">
      <c r="K86" s="50"/>
    </row>
    <row r="87" spans="11:11">
      <c r="K87" s="50"/>
    </row>
    <row r="88" spans="11:11">
      <c r="K88" s="50"/>
    </row>
    <row r="89" spans="11:11">
      <c r="K89" s="50"/>
    </row>
    <row r="90" spans="11:11">
      <c r="K90" s="50"/>
    </row>
    <row r="91" spans="11:11">
      <c r="K91" s="50"/>
    </row>
    <row r="92" spans="11:11">
      <c r="K92" s="50"/>
    </row>
    <row r="93" spans="11:11">
      <c r="K93" s="50"/>
    </row>
    <row r="94" spans="11:11">
      <c r="K94" s="50"/>
    </row>
    <row r="95" spans="11:11">
      <c r="K95" s="50"/>
    </row>
    <row r="96" spans="11:11">
      <c r="K96" s="50"/>
    </row>
    <row r="97" spans="11:11">
      <c r="K97" s="50"/>
    </row>
    <row r="98" spans="11:11">
      <c r="K98" s="50"/>
    </row>
    <row r="99" spans="11:11">
      <c r="K99" s="50"/>
    </row>
    <row r="100" spans="11:11">
      <c r="K100" s="50"/>
    </row>
    <row r="101" spans="11:11">
      <c r="K101" s="50"/>
    </row>
    <row r="102" spans="11:11">
      <c r="K102" s="50"/>
    </row>
    <row r="103" spans="11:11">
      <c r="K103" s="50"/>
    </row>
  </sheetData>
  <mergeCells count="7">
    <mergeCell ref="J2:J3"/>
    <mergeCell ref="H2:H3"/>
    <mergeCell ref="J8:K8"/>
    <mergeCell ref="G6:H6"/>
    <mergeCell ref="I6:J6"/>
    <mergeCell ref="C2:D4"/>
    <mergeCell ref="C1:D1"/>
  </mergeCell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AAFF29-7A32-6540-BC7F-C495DD80B6AF}">
          <x14:formula1>
            <xm:f>BASE_DADOS!$I$3:$I$30</xm:f>
          </x14:formula1>
          <xm:sqref>H2:H3</xm:sqref>
        </x14:dataValidation>
        <x14:dataValidation type="list" allowBlank="1" showInputMessage="1" showErrorMessage="1" xr:uid="{023C93A2-2834-7145-8CDB-E90A14AAF04F}">
          <x14:formula1>
            <xm:f>BASE_DADOS!$J$3:$J$30</xm:f>
          </x14:formula1>
          <xm:sqref>J2:J3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INTRUÇÃO</vt:lpstr>
      <vt:lpstr>CADASTRO</vt:lpstr>
      <vt:lpstr>BASE_DADOS</vt:lpstr>
      <vt:lpstr>MÉTRICAS</vt:lpstr>
      <vt:lpstr>APOIO</vt:lpstr>
      <vt:lpstr>INDICADORES</vt:lpstr>
      <vt:lpstr>DASHBOARD</vt:lpstr>
      <vt:lpstr>ListaCorretores</vt:lpstr>
      <vt:lpstr>ListaEmpreendimentos</vt:lpstr>
      <vt:lpstr>ListaOrigem</vt:lpstr>
      <vt:lpstr>Tbl_cadastro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THAYLA EDUARDA MACIEL DE SOUSA</dc:creator>
  <cp:lastModifiedBy>THAYLA EDUARDA MACIEL DE SOUSA</cp:lastModifiedBy>
  <dcterms:created xsi:type="dcterms:W3CDTF">2026-07-26T16:29:37Z</dcterms:created>
  <dcterms:modified xsi:type="dcterms:W3CDTF">2026-08-18T18:10:34Z</dcterms:modified>
</cp:coreProperties>
</file>